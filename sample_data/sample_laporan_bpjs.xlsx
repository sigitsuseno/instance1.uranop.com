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ragon\www\instance1.uranop.com\sample_data\"/>
    </mc:Choice>
  </mc:AlternateContent>
  <xr:revisionPtr revIDLastSave="0" documentId="8_{747990B0-742E-41FC-B32C-4311F55EB092}" xr6:coauthVersionLast="45" xr6:coauthVersionMax="45" xr10:uidLastSave="{00000000-0000-0000-0000-000000000000}"/>
  <bookViews>
    <workbookView xWindow="21480" yWindow="-120" windowWidth="25440" windowHeight="15270" xr2:uid="{6EA61085-35D5-453F-B2A3-5AC7EDC5DC5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67" i="1" l="1"/>
  <c r="S268" i="1"/>
  <c r="U4" i="1"/>
  <c r="S4" i="1"/>
  <c r="Q4" i="1"/>
  <c r="P4" i="1"/>
  <c r="N4" i="1"/>
  <c r="M4" i="1"/>
  <c r="O4" i="1" s="1"/>
  <c r="L4" i="1"/>
  <c r="H4" i="1"/>
  <c r="Z1" i="1"/>
  <c r="X1" i="1"/>
  <c r="W1" i="1"/>
  <c r="Q46" i="1" l="1"/>
  <c r="M29" i="1"/>
  <c r="P29" i="1"/>
  <c r="S29" i="1"/>
  <c r="N29" i="1"/>
  <c r="Q29" i="1"/>
  <c r="S267" i="1"/>
  <c r="S264" i="1"/>
  <c r="U29" i="1"/>
  <c r="U46" i="1"/>
  <c r="W4" i="1"/>
  <c r="M46" i="1"/>
  <c r="U268" i="1"/>
  <c r="P268" i="1"/>
  <c r="Z4" i="1"/>
  <c r="N264" i="1"/>
  <c r="Z46" i="1" l="1"/>
  <c r="P46" i="1"/>
  <c r="O268" i="1"/>
  <c r="N46" i="1"/>
  <c r="N266" i="1" s="1"/>
  <c r="S46" i="1"/>
  <c r="S266" i="1" s="1"/>
  <c r="W29" i="1"/>
  <c r="L29" i="1"/>
  <c r="P267" i="1"/>
  <c r="P264" i="1"/>
  <c r="Q267" i="1"/>
  <c r="Q264" i="1"/>
  <c r="Q269" i="1" s="1"/>
  <c r="Z264" i="1"/>
  <c r="Z271" i="1" s="1"/>
  <c r="Q268" i="1"/>
  <c r="S269" i="1"/>
  <c r="O29" i="1"/>
  <c r="Z29" i="1"/>
  <c r="AA4" i="1"/>
  <c r="T268" i="1"/>
  <c r="L264" i="1"/>
  <c r="M264" i="1"/>
  <c r="M266" i="1" s="1"/>
  <c r="U267" i="1"/>
  <c r="U264" i="1"/>
  <c r="U266" i="1" s="1"/>
  <c r="T29" i="1"/>
  <c r="X29" i="1"/>
  <c r="T264" i="1"/>
  <c r="T267" i="1"/>
  <c r="X264" i="1"/>
  <c r="L46" i="1"/>
  <c r="T46" i="1"/>
  <c r="L266" i="1" l="1"/>
  <c r="P266" i="1"/>
  <c r="O46" i="1"/>
  <c r="Y4" i="1"/>
  <c r="Y29" i="1" s="1"/>
  <c r="T266" i="1"/>
  <c r="P269" i="1"/>
  <c r="W46" i="1"/>
  <c r="Q266" i="1"/>
  <c r="W264" i="1"/>
  <c r="X271" i="1" s="1"/>
  <c r="Z270" i="1"/>
  <c r="Z266" i="1"/>
  <c r="Z268" i="1" s="1"/>
  <c r="T269" i="1"/>
  <c r="U269" i="1"/>
  <c r="O267" i="1"/>
  <c r="O264" i="1"/>
  <c r="W30" i="1"/>
  <c r="X46" i="1"/>
  <c r="X266" i="1" s="1"/>
  <c r="Y264" i="1" l="1"/>
  <c r="X270" i="1"/>
  <c r="W47" i="1"/>
  <c r="W266" i="1"/>
  <c r="Y46" i="1"/>
  <c r="Y266" i="1" s="1"/>
  <c r="Y268" i="1" s="1"/>
  <c r="O266" i="1"/>
  <c r="O269" i="1"/>
  <c r="AA264" i="1" l="1"/>
</calcChain>
</file>

<file path=xl/sharedStrings.xml><?xml version="1.0" encoding="utf-8"?>
<sst xmlns="http://schemas.openxmlformats.org/spreadsheetml/2006/main" count="97" uniqueCount="41">
  <si>
    <t>BPJS STAFF (1)</t>
  </si>
  <si>
    <t>No</t>
  </si>
  <si>
    <t>NAMA</t>
  </si>
  <si>
    <t>THN MASUK KARYAWAN</t>
  </si>
  <si>
    <t>MASA KERJA</t>
  </si>
  <si>
    <t>GAJI POKOK</t>
  </si>
  <si>
    <t>TUNJ MASA KERJA</t>
  </si>
  <si>
    <t>TUNJANGAN</t>
  </si>
  <si>
    <t>BULAIN INI</t>
  </si>
  <si>
    <t>NOMOR KPJ BPJS TENAGAKERJA</t>
  </si>
  <si>
    <t>NOMOR KPJ BPJS KESEHATAN</t>
  </si>
  <si>
    <t>PERUSAHAAN</t>
  </si>
  <si>
    <t>KARYAWAN</t>
  </si>
  <si>
    <t>TOTAL BPJS</t>
  </si>
  <si>
    <t>BPJS TK             (JHT)</t>
  </si>
  <si>
    <t>BPJS TK             (JKM)</t>
  </si>
  <si>
    <t>BPJS TK             (JKK)</t>
  </si>
  <si>
    <t>TOTAL BPJS TK</t>
  </si>
  <si>
    <t>BPJS TK    PENSIUN</t>
  </si>
  <si>
    <t>BPJS KESEHATAN</t>
  </si>
  <si>
    <t xml:space="preserve">BPJS TK            </t>
  </si>
  <si>
    <t xml:space="preserve">BPJS TK    </t>
  </si>
  <si>
    <t>BPJS TK          PENSIUN</t>
  </si>
  <si>
    <t>ATON ADI</t>
  </si>
  <si>
    <t>0002094570178</t>
  </si>
  <si>
    <t>TOTAL STAFF</t>
  </si>
  <si>
    <t>BPJS STAFF (2)</t>
  </si>
  <si>
    <t>NOMOR KARTU BPJS KESEHATAN</t>
  </si>
  <si>
    <t>BPJS DIBAYAR PERUSAHAAN</t>
  </si>
  <si>
    <t>BPJS DIBAYAR KARYAWAN</t>
  </si>
  <si>
    <t>BPJS TK                                  (JHT)</t>
  </si>
  <si>
    <t>TOTAL SRAFF (1)</t>
  </si>
  <si>
    <t>BPJS PRODUKSI</t>
  </si>
  <si>
    <t>TOTAL PRINT</t>
  </si>
  <si>
    <t>TOTAL</t>
  </si>
  <si>
    <t>all in</t>
  </si>
  <si>
    <t>prod</t>
  </si>
  <si>
    <t>BPJS TK STAFF</t>
  </si>
  <si>
    <t>TK</t>
  </si>
  <si>
    <t>PENSIUN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</si>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</sst>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9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4" fillId="0" borderId="0"/>
  </cellStyleXfs>
  <cellXfs count="2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1" fontId="3" fillId="0" borderId="0" xfId="2" applyFont="1" applyFill="1" applyAlignment="1">
      <alignment vertical="center"/>
    </xf>
    <xf numFmtId="41" fontId="3" fillId="0" borderId="0" xfId="2" applyFont="1" applyFill="1" applyAlignment="1">
      <alignment horizontal="center" vertical="center"/>
    </xf>
    <xf numFmtId="1" fontId="3" fillId="0" borderId="0" xfId="2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9" fontId="3" fillId="0" borderId="2" xfId="0" applyNumberFormat="1" applyFont="1" applyBorder="1" applyAlignment="1">
      <alignment horizontal="center" vertical="center"/>
    </xf>
    <xf numFmtId="164" fontId="3" fillId="0" borderId="0" xfId="4" applyFont="1" applyFill="1" applyAlignment="1">
      <alignment horizontal="center" vertical="center"/>
    </xf>
    <xf numFmtId="10" fontId="3" fillId="0" borderId="0" xfId="4" applyNumberFormat="1" applyFont="1" applyFill="1" applyAlignment="1">
      <alignment horizontal="center" vertical="center"/>
    </xf>
    <xf numFmtId="9" fontId="3" fillId="0" borderId="0" xfId="4" applyNumberFormat="1" applyFont="1" applyFill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 wrapText="1"/>
    </xf>
    <xf numFmtId="41" fontId="2" fillId="2" borderId="4" xfId="2" applyFont="1" applyFill="1" applyBorder="1" applyAlignment="1">
      <alignment horizontal="center" vertical="center" wrapText="1"/>
    </xf>
    <xf numFmtId="1" fontId="2" fillId="2" borderId="4" xfId="2" applyNumberFormat="1" applyFont="1" applyFill="1" applyBorder="1" applyAlignment="1">
      <alignment horizontal="center" vertical="center" wrapText="1"/>
    </xf>
    <xf numFmtId="43" fontId="2" fillId="2" borderId="3" xfId="1" applyFont="1" applyFill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center" vertical="center" wrapText="1"/>
    </xf>
    <xf numFmtId="43" fontId="2" fillId="2" borderId="6" xfId="1" applyFont="1" applyFill="1" applyBorder="1" applyAlignment="1">
      <alignment horizontal="center" vertical="center"/>
    </xf>
    <xf numFmtId="43" fontId="2" fillId="2" borderId="7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43" fontId="2" fillId="0" borderId="0" xfId="1" applyFont="1" applyFill="1" applyAlignment="1">
      <alignment vertical="center"/>
    </xf>
    <xf numFmtId="0" fontId="3" fillId="2" borderId="9" xfId="1" applyNumberFormat="1" applyFont="1" applyFill="1" applyBorder="1" applyAlignment="1">
      <alignment horizontal="center" vertical="center"/>
    </xf>
    <xf numFmtId="0" fontId="2" fillId="2" borderId="9" xfId="1" applyNumberFormat="1" applyFont="1" applyFill="1" applyBorder="1" applyAlignment="1">
      <alignment horizontal="center" vertical="center" wrapText="1"/>
    </xf>
    <xf numFmtId="41" fontId="2" fillId="2" borderId="9" xfId="2" applyFont="1" applyFill="1" applyBorder="1" applyAlignment="1">
      <alignment horizontal="center" vertical="center" wrapText="1"/>
    </xf>
    <xf numFmtId="1" fontId="2" fillId="2" borderId="9" xfId="2" applyNumberFormat="1" applyFont="1" applyFill="1" applyBorder="1" applyAlignment="1">
      <alignment horizontal="center" vertical="center" wrapText="1"/>
    </xf>
    <xf numFmtId="43" fontId="3" fillId="2" borderId="3" xfId="1" applyFont="1" applyFill="1" applyBorder="1" applyAlignment="1">
      <alignment horizontal="center" vertical="center" wrapText="1"/>
    </xf>
    <xf numFmtId="0" fontId="3" fillId="0" borderId="10" xfId="1" applyNumberFormat="1" applyFont="1" applyFill="1" applyBorder="1" applyAlignment="1">
      <alignment horizontal="center" vertical="center" wrapText="1"/>
    </xf>
    <xf numFmtId="43" fontId="3" fillId="0" borderId="0" xfId="1" applyFont="1" applyFill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1" fontId="3" fillId="0" borderId="3" xfId="2" applyFont="1" applyFill="1" applyBorder="1" applyAlignment="1">
      <alignment horizontal="left"/>
    </xf>
    <xf numFmtId="41" fontId="3" fillId="0" borderId="3" xfId="2" applyFont="1" applyFill="1" applyBorder="1" applyAlignment="1">
      <alignment horizontal="center"/>
    </xf>
    <xf numFmtId="1" fontId="3" fillId="0" borderId="3" xfId="2" applyNumberFormat="1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43" fontId="3" fillId="0" borderId="13" xfId="1" applyFont="1" applyFill="1" applyBorder="1" applyAlignment="1">
      <alignment horizontal="center" vertical="center"/>
    </xf>
    <xf numFmtId="164" fontId="3" fillId="0" borderId="13" xfId="4" applyFont="1" applyFill="1" applyBorder="1" applyAlignment="1">
      <alignment horizontal="center" vertical="center"/>
    </xf>
    <xf numFmtId="43" fontId="3" fillId="0" borderId="14" xfId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5" applyFont="1" applyBorder="1" applyAlignment="1">
      <alignment vertical="center"/>
    </xf>
    <xf numFmtId="0" fontId="3" fillId="0" borderId="3" xfId="5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43" fontId="3" fillId="0" borderId="17" xfId="1" applyFont="1" applyFill="1" applyBorder="1" applyAlignment="1">
      <alignment horizontal="center" vertical="center"/>
    </xf>
    <xf numFmtId="0" fontId="3" fillId="0" borderId="16" xfId="5" applyFont="1" applyBorder="1" applyAlignment="1">
      <alignment horizontal="left" vertical="center"/>
    </xf>
    <xf numFmtId="0" fontId="3" fillId="0" borderId="3" xfId="5" quotePrefix="1" applyFont="1" applyBorder="1" applyAlignment="1">
      <alignment horizontal="center" vertical="center"/>
    </xf>
    <xf numFmtId="0" fontId="3" fillId="0" borderId="16" xfId="6" applyFont="1" applyBorder="1" applyAlignment="1">
      <alignment vertical="center"/>
    </xf>
    <xf numFmtId="14" fontId="3" fillId="0" borderId="3" xfId="6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left"/>
    </xf>
    <xf numFmtId="41" fontId="3" fillId="0" borderId="9" xfId="2" applyFont="1" applyFill="1" applyBorder="1" applyAlignment="1">
      <alignment horizontal="left"/>
    </xf>
    <xf numFmtId="0" fontId="3" fillId="0" borderId="18" xfId="5" applyFont="1" applyBorder="1" applyAlignment="1">
      <alignment vertical="center"/>
    </xf>
    <xf numFmtId="14" fontId="3" fillId="0" borderId="19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41" fontId="3" fillId="0" borderId="19" xfId="2" applyFont="1" applyFill="1" applyBorder="1" applyAlignment="1">
      <alignment horizontal="center"/>
    </xf>
    <xf numFmtId="1" fontId="3" fillId="0" borderId="19" xfId="2" applyNumberFormat="1" applyFont="1" applyFill="1" applyBorder="1" applyAlignment="1">
      <alignment horizontal="center" vertical="center"/>
    </xf>
    <xf numFmtId="0" fontId="3" fillId="0" borderId="19" xfId="5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3" fontId="3" fillId="0" borderId="19" xfId="1" applyFont="1" applyFill="1" applyBorder="1" applyAlignment="1">
      <alignment horizontal="center" vertical="center"/>
    </xf>
    <xf numFmtId="164" fontId="3" fillId="0" borderId="19" xfId="4" applyFont="1" applyFill="1" applyBorder="1" applyAlignment="1">
      <alignment horizontal="center" vertical="center"/>
    </xf>
    <xf numFmtId="43" fontId="3" fillId="0" borderId="21" xfId="1" applyFont="1" applyFill="1" applyBorder="1" applyAlignment="1">
      <alignment horizontal="center" vertical="center"/>
    </xf>
    <xf numFmtId="43" fontId="3" fillId="0" borderId="22" xfId="1" applyFont="1" applyFill="1" applyBorder="1" applyAlignment="1">
      <alignment horizontal="center" vertical="center"/>
    </xf>
    <xf numFmtId="43" fontId="3" fillId="0" borderId="20" xfId="1" applyFont="1" applyFill="1" applyBorder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41" fontId="2" fillId="0" borderId="0" xfId="2" applyFont="1" applyFill="1" applyBorder="1" applyAlignment="1">
      <alignment vertical="center"/>
    </xf>
    <xf numFmtId="41" fontId="2" fillId="0" borderId="0" xfId="2" applyFont="1" applyFill="1" applyBorder="1" applyAlignment="1">
      <alignment horizontal="center" vertical="center"/>
    </xf>
    <xf numFmtId="1" fontId="2" fillId="0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3" borderId="9" xfId="1" applyFont="1" applyFill="1" applyBorder="1" applyAlignment="1">
      <alignment horizontal="center" vertical="center"/>
    </xf>
    <xf numFmtId="164" fontId="2" fillId="0" borderId="0" xfId="4" applyFont="1" applyFill="1" applyAlignment="1">
      <alignment horizontal="center" vertical="center"/>
    </xf>
    <xf numFmtId="43" fontId="2" fillId="4" borderId="9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horizontal="center" vertical="center"/>
    </xf>
    <xf numFmtId="41" fontId="3" fillId="0" borderId="0" xfId="2" applyFont="1" applyFill="1" applyBorder="1" applyAlignment="1">
      <alignment vertical="center"/>
    </xf>
    <xf numFmtId="41" fontId="3" fillId="0" borderId="0" xfId="2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3" fillId="0" borderId="0" xfId="5" applyFont="1" applyAlignment="1">
      <alignment vertical="center"/>
    </xf>
    <xf numFmtId="1" fontId="2" fillId="0" borderId="1" xfId="0" applyNumberFormat="1" applyFont="1" applyBorder="1" applyAlignment="1">
      <alignment horizontal="left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center" vertical="center" wrapText="1"/>
    </xf>
    <xf numFmtId="43" fontId="3" fillId="2" borderId="3" xfId="1" applyFont="1" applyFill="1" applyBorder="1" applyAlignment="1">
      <alignment horizontal="center" vertical="center" wrapText="1"/>
    </xf>
    <xf numFmtId="0" fontId="3" fillId="0" borderId="5" xfId="1" applyNumberFormat="1" applyFont="1" applyFill="1" applyBorder="1" applyAlignment="1">
      <alignment horizontal="center" vertical="center" wrapText="1"/>
    </xf>
    <xf numFmtId="43" fontId="3" fillId="2" borderId="6" xfId="1" applyFont="1" applyFill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  <xf numFmtId="0" fontId="3" fillId="2" borderId="9" xfId="1" applyNumberFormat="1" applyFont="1" applyFill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/>
    </xf>
    <xf numFmtId="0" fontId="3" fillId="0" borderId="23" xfId="6" applyFont="1" applyBorder="1" applyAlignment="1">
      <alignment vertical="center"/>
    </xf>
    <xf numFmtId="0" fontId="3" fillId="0" borderId="3" xfId="6" applyFont="1" applyBorder="1" applyAlignment="1">
      <alignment horizontal="center" vertical="center"/>
    </xf>
    <xf numFmtId="41" fontId="3" fillId="0" borderId="3" xfId="2" applyFont="1" applyFill="1" applyBorder="1" applyAlignment="1">
      <alignment vertical="center"/>
    </xf>
    <xf numFmtId="43" fontId="3" fillId="0" borderId="11" xfId="1" applyFont="1" applyFill="1" applyBorder="1" applyAlignment="1">
      <alignment horizontal="center" vertical="center"/>
    </xf>
    <xf numFmtId="164" fontId="3" fillId="0" borderId="24" xfId="4" applyFont="1" applyFill="1" applyBorder="1" applyAlignment="1">
      <alignment horizontal="center" vertical="center"/>
    </xf>
    <xf numFmtId="0" fontId="3" fillId="0" borderId="25" xfId="6" applyFont="1" applyBorder="1" applyAlignment="1">
      <alignment vertical="center"/>
    </xf>
    <xf numFmtId="43" fontId="3" fillId="0" borderId="15" xfId="1" applyFont="1" applyFill="1" applyBorder="1" applyAlignment="1">
      <alignment horizontal="center" vertical="center"/>
    </xf>
    <xf numFmtId="164" fontId="3" fillId="0" borderId="26" xfId="4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3" fontId="3" fillId="0" borderId="28" xfId="1" applyFont="1" applyFill="1" applyBorder="1" applyAlignment="1">
      <alignment horizontal="center" vertical="center"/>
    </xf>
    <xf numFmtId="43" fontId="3" fillId="0" borderId="29" xfId="1" applyFont="1" applyFill="1" applyBorder="1" applyAlignment="1">
      <alignment horizontal="center" vertical="center"/>
    </xf>
    <xf numFmtId="43" fontId="3" fillId="0" borderId="30" xfId="1" applyFont="1" applyFill="1" applyBorder="1" applyAlignment="1">
      <alignment horizontal="center" vertical="center"/>
    </xf>
    <xf numFmtId="164" fontId="3" fillId="0" borderId="31" xfId="4" applyFont="1" applyFill="1" applyBorder="1" applyAlignment="1">
      <alignment horizontal="center" vertical="center"/>
    </xf>
    <xf numFmtId="43" fontId="3" fillId="0" borderId="32" xfId="1" applyFont="1" applyFill="1" applyBorder="1" applyAlignment="1">
      <alignment horizontal="center" vertical="center"/>
    </xf>
    <xf numFmtId="43" fontId="3" fillId="0" borderId="33" xfId="1" applyFont="1" applyFill="1" applyBorder="1" applyAlignment="1">
      <alignment horizontal="center" vertical="center"/>
    </xf>
    <xf numFmtId="164" fontId="3" fillId="0" borderId="34" xfId="4" applyFont="1" applyFill="1" applyBorder="1" applyAlignment="1">
      <alignment horizontal="center" vertical="center"/>
    </xf>
    <xf numFmtId="43" fontId="3" fillId="0" borderId="27" xfId="1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43" fontId="3" fillId="0" borderId="36" xfId="1" applyFont="1" applyFill="1" applyBorder="1" applyAlignment="1">
      <alignment horizontal="center" vertical="center"/>
    </xf>
    <xf numFmtId="0" fontId="2" fillId="3" borderId="3" xfId="1" applyNumberFormat="1" applyFont="1" applyFill="1" applyBorder="1" applyAlignment="1">
      <alignment horizontal="center" vertical="center"/>
    </xf>
    <xf numFmtId="43" fontId="2" fillId="3" borderId="3" xfId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3" fontId="3" fillId="2" borderId="6" xfId="1" applyFont="1" applyFill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 wrapText="1"/>
    </xf>
    <xf numFmtId="43" fontId="3" fillId="2" borderId="8" xfId="1" applyFont="1" applyFill="1" applyBorder="1" applyAlignment="1">
      <alignment horizontal="center" vertical="center" wrapText="1"/>
    </xf>
    <xf numFmtId="43" fontId="3" fillId="0" borderId="0" xfId="1" applyFont="1" applyFill="1" applyBorder="1" applyAlignment="1">
      <alignment vertical="center" wrapText="1"/>
    </xf>
    <xf numFmtId="43" fontId="3" fillId="0" borderId="0" xfId="1" applyFont="1" applyFill="1" applyBorder="1" applyAlignment="1">
      <alignment vertical="center"/>
    </xf>
    <xf numFmtId="43" fontId="3" fillId="2" borderId="3" xfId="1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43" fontId="3" fillId="0" borderId="37" xfId="1" applyFont="1" applyFill="1" applyBorder="1" applyAlignment="1">
      <alignment horizontal="center" vertical="center"/>
    </xf>
    <xf numFmtId="0" fontId="3" fillId="0" borderId="35" xfId="6" applyFont="1" applyBorder="1" applyAlignment="1">
      <alignment vertical="center"/>
    </xf>
    <xf numFmtId="41" fontId="3" fillId="0" borderId="3" xfId="2" applyFont="1" applyFill="1" applyBorder="1" applyAlignment="1">
      <alignment horizontal="center" vertical="center"/>
    </xf>
    <xf numFmtId="41" fontId="3" fillId="0" borderId="4" xfId="2" applyFont="1" applyFill="1" applyBorder="1" applyAlignment="1">
      <alignment horizontal="center" vertical="center"/>
    </xf>
    <xf numFmtId="1" fontId="3" fillId="0" borderId="4" xfId="2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43" fontId="3" fillId="0" borderId="38" xfId="1" applyFont="1" applyFill="1" applyBorder="1" applyAlignment="1">
      <alignment horizontal="center" vertical="center"/>
    </xf>
    <xf numFmtId="43" fontId="3" fillId="0" borderId="10" xfId="1" applyFont="1" applyFill="1" applyBorder="1" applyAlignment="1">
      <alignment horizontal="center" vertical="center"/>
    </xf>
    <xf numFmtId="43" fontId="3" fillId="0" borderId="39" xfId="1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43" fontId="3" fillId="0" borderId="24" xfId="1" applyFont="1" applyFill="1" applyBorder="1" applyAlignment="1">
      <alignment horizontal="center" vertical="center"/>
    </xf>
    <xf numFmtId="43" fontId="3" fillId="0" borderId="40" xfId="1" applyFont="1" applyFill="1" applyBorder="1" applyAlignment="1">
      <alignment horizontal="center" vertical="center"/>
    </xf>
    <xf numFmtId="43" fontId="3" fillId="0" borderId="41" xfId="1" applyFont="1" applyFill="1" applyBorder="1" applyAlignment="1">
      <alignment horizontal="center" vertical="center"/>
    </xf>
    <xf numFmtId="43" fontId="3" fillId="0" borderId="42" xfId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164" fontId="3" fillId="0" borderId="0" xfId="4" applyFont="1" applyFill="1" applyBorder="1" applyAlignment="1">
      <alignment horizontal="center" vertical="center"/>
    </xf>
    <xf numFmtId="43" fontId="3" fillId="0" borderId="43" xfId="1" applyFont="1" applyFill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3" fillId="0" borderId="9" xfId="6" applyFont="1" applyBorder="1" applyAlignment="1">
      <alignment horizontal="center" vertical="center"/>
    </xf>
    <xf numFmtId="41" fontId="3" fillId="0" borderId="9" xfId="2" applyFont="1" applyFill="1" applyBorder="1" applyAlignment="1">
      <alignment horizontal="center" vertical="center"/>
    </xf>
    <xf numFmtId="1" fontId="3" fillId="0" borderId="9" xfId="2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3" fontId="3" fillId="0" borderId="9" xfId="1" applyFont="1" applyFill="1" applyBorder="1" applyAlignment="1">
      <alignment horizontal="center" vertical="center"/>
    </xf>
    <xf numFmtId="43" fontId="3" fillId="0" borderId="44" xfId="1" applyFont="1" applyFill="1" applyBorder="1" applyAlignment="1">
      <alignment horizontal="center" vertical="center"/>
    </xf>
    <xf numFmtId="43" fontId="3" fillId="0" borderId="45" xfId="1" applyFont="1" applyFill="1" applyBorder="1" applyAlignment="1">
      <alignment horizontal="center" vertical="center"/>
    </xf>
    <xf numFmtId="43" fontId="3" fillId="0" borderId="46" xfId="1" applyFont="1" applyFill="1" applyBorder="1" applyAlignment="1">
      <alignment horizontal="center" vertical="center"/>
    </xf>
    <xf numFmtId="164" fontId="3" fillId="0" borderId="1" xfId="4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4" fontId="3" fillId="0" borderId="9" xfId="6" applyNumberFormat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43" fontId="3" fillId="5" borderId="9" xfId="1" applyFont="1" applyFill="1" applyBorder="1" applyAlignment="1">
      <alignment horizontal="center" vertical="center"/>
    </xf>
    <xf numFmtId="43" fontId="3" fillId="5" borderId="44" xfId="1" applyFont="1" applyFill="1" applyBorder="1" applyAlignment="1">
      <alignment horizontal="center" vertical="center"/>
    </xf>
    <xf numFmtId="43" fontId="3" fillId="5" borderId="45" xfId="1" applyFont="1" applyFill="1" applyBorder="1" applyAlignment="1">
      <alignment horizontal="center" vertical="center"/>
    </xf>
    <xf numFmtId="43" fontId="3" fillId="5" borderId="46" xfId="1" applyFont="1" applyFill="1" applyBorder="1" applyAlignment="1">
      <alignment horizontal="center" vertical="center"/>
    </xf>
    <xf numFmtId="164" fontId="3" fillId="5" borderId="26" xfId="4" applyFont="1" applyFill="1" applyBorder="1" applyAlignment="1">
      <alignment horizontal="center" vertical="center"/>
    </xf>
    <xf numFmtId="43" fontId="3" fillId="5" borderId="3" xfId="1" applyFont="1" applyFill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14" fontId="3" fillId="0" borderId="18" xfId="6" applyNumberFormat="1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41" fontId="3" fillId="0" borderId="18" xfId="2" applyFont="1" applyFill="1" applyBorder="1" applyAlignment="1">
      <alignment horizontal="center" vertical="center"/>
    </xf>
    <xf numFmtId="1" fontId="3" fillId="0" borderId="18" xfId="2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43" fontId="3" fillId="0" borderId="18" xfId="1" applyFont="1" applyFill="1" applyBorder="1" applyAlignment="1">
      <alignment horizontal="center" vertical="center"/>
    </xf>
    <xf numFmtId="43" fontId="3" fillId="0" borderId="48" xfId="1" applyFont="1" applyFill="1" applyBorder="1" applyAlignment="1">
      <alignment horizontal="center" vertical="center"/>
    </xf>
    <xf numFmtId="43" fontId="3" fillId="0" borderId="49" xfId="1" applyFont="1" applyFill="1" applyBorder="1" applyAlignment="1">
      <alignment horizontal="center" vertical="center"/>
    </xf>
    <xf numFmtId="43" fontId="3" fillId="0" borderId="50" xfId="1" applyFont="1" applyFill="1" applyBorder="1" applyAlignment="1">
      <alignment horizontal="center" vertical="center"/>
    </xf>
    <xf numFmtId="164" fontId="3" fillId="0" borderId="51" xfId="4" applyFont="1" applyFill="1" applyBorder="1" applyAlignment="1">
      <alignment horizontal="center" vertical="center"/>
    </xf>
    <xf numFmtId="164" fontId="3" fillId="0" borderId="20" xfId="4" applyFont="1" applyFill="1" applyBorder="1" applyAlignment="1">
      <alignment horizontal="center" vertical="center"/>
    </xf>
    <xf numFmtId="1" fontId="2" fillId="0" borderId="0" xfId="2" applyNumberFormat="1" applyFont="1" applyBorder="1" applyAlignment="1">
      <alignment vertical="center"/>
    </xf>
    <xf numFmtId="43" fontId="2" fillId="3" borderId="52" xfId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3" fontId="2" fillId="3" borderId="53" xfId="1" applyFont="1" applyFill="1" applyBorder="1" applyAlignment="1">
      <alignment horizontal="center" vertical="center"/>
    </xf>
    <xf numFmtId="14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41" fontId="2" fillId="0" borderId="0" xfId="2" applyFont="1" applyFill="1" applyAlignment="1">
      <alignment horizontal="left" vertical="center"/>
    </xf>
    <xf numFmtId="41" fontId="2" fillId="0" borderId="0" xfId="2" applyFont="1" applyFill="1" applyAlignment="1">
      <alignment horizontal="center" vertical="center"/>
    </xf>
    <xf numFmtId="1" fontId="2" fillId="0" borderId="0" xfId="2" applyNumberFormat="1" applyFont="1" applyFill="1" applyAlignment="1">
      <alignment horizontal="center" vertical="center"/>
    </xf>
    <xf numFmtId="43" fontId="2" fillId="6" borderId="3" xfId="1" applyFont="1" applyFill="1" applyBorder="1" applyAlignment="1">
      <alignment horizontal="center" vertical="center"/>
    </xf>
    <xf numFmtId="43" fontId="2" fillId="6" borderId="3" xfId="1" applyFont="1" applyFill="1" applyBorder="1" applyAlignment="1">
      <alignment horizontal="right" vertical="center"/>
    </xf>
    <xf numFmtId="2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4" fontId="8" fillId="7" borderId="0" xfId="4" applyFont="1" applyFill="1" applyAlignment="1">
      <alignment horizontal="center" vertical="center"/>
    </xf>
    <xf numFmtId="164" fontId="3" fillId="7" borderId="0" xfId="4" applyFont="1" applyFill="1" applyAlignment="1">
      <alignment horizontal="center" vertical="center"/>
    </xf>
    <xf numFmtId="43" fontId="3" fillId="7" borderId="0" xfId="0" applyNumberFormat="1" applyFont="1" applyFill="1" applyAlignment="1">
      <alignment horizontal="center" vertical="center"/>
    </xf>
    <xf numFmtId="40" fontId="9" fillId="6" borderId="0" xfId="0" applyNumberFormat="1" applyFont="1" applyFill="1" applyAlignment="1">
      <alignment horizontal="right" vertical="center" wrapText="1"/>
    </xf>
    <xf numFmtId="4" fontId="9" fillId="6" borderId="0" xfId="0" applyNumberFormat="1" applyFont="1" applyFill="1" applyAlignment="1">
      <alignment horizontal="right" vertical="center" wrapText="1"/>
    </xf>
    <xf numFmtId="164" fontId="9" fillId="6" borderId="0" xfId="4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43" fontId="3" fillId="7" borderId="0" xfId="4" applyNumberFormat="1" applyFont="1" applyFill="1" applyAlignment="1">
      <alignment horizontal="center" vertical="center"/>
    </xf>
    <xf numFmtId="4" fontId="3" fillId="0" borderId="0" xfId="4" applyNumberFormat="1" applyFont="1" applyFill="1" applyAlignment="1">
      <alignment horizontal="right" vertical="center"/>
    </xf>
    <xf numFmtId="164" fontId="3" fillId="0" borderId="0" xfId="4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164" fontId="3" fillId="8" borderId="0" xfId="4" applyFont="1" applyFill="1" applyAlignment="1">
      <alignment horizontal="center" vertical="center"/>
    </xf>
  </cellXfs>
  <cellStyles count="7">
    <cellStyle name="Comma" xfId="1" builtinId="3"/>
    <cellStyle name="Comma [0] 4" xfId="2" xr:uid="{FE46F3C1-9D8B-4716-928E-36DE6FB5FF34}"/>
    <cellStyle name="Comma 2 10 3" xfId="4" xr:uid="{C4802A23-1321-412F-BA94-8A6AC41F691D}"/>
    <cellStyle name="Normal" xfId="0" builtinId="0"/>
    <cellStyle name="Normal 2" xfId="5" xr:uid="{68BB54A7-E797-4DD4-AA0F-6F40B672083D}"/>
    <cellStyle name="Normal 2 3 2" xfId="6" xr:uid="{5C350989-BA0A-4BAC-80D0-ACE9D16581C5}"/>
    <cellStyle name="Percent 3" xfId="3" xr:uid="{679F574D-35F2-4B49-A7A4-6A52EFE7636E}"/>
  </cellStyles>
  <dxfs count="55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US\1.%20BPJS\BPJS%20KESEHATAN\2025\6.%20JUNI\Tagihan016205382025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060162053800000001"/>
    </sheetNames>
    <sheetDataSet>
      <sheetData sheetId="0" refreshError="1">
        <row r="8">
          <cell r="A8" t="str">
            <v>0000074498769</v>
          </cell>
          <cell r="B8" t="str">
            <v>0000074498769</v>
          </cell>
          <cell r="C8" t="str">
            <v>KHOIRUNNISHA ARINI OVI MAYANGSASI</v>
          </cell>
          <cell r="D8" t="str">
            <v>50810</v>
          </cell>
          <cell r="E8" t="str">
            <v>PESERTA</v>
          </cell>
          <cell r="F8">
            <v>137507</v>
          </cell>
        </row>
        <row r="9">
          <cell r="A9" t="str">
            <v>0000074498769</v>
          </cell>
          <cell r="B9" t="str">
            <v>0003565803273</v>
          </cell>
          <cell r="C9" t="str">
            <v>AHMAD  KEENAN  VILANA</v>
          </cell>
          <cell r="D9" t="str">
            <v/>
          </cell>
          <cell r="E9" t="str">
            <v>ANAK</v>
          </cell>
          <cell r="F9">
            <v>0</v>
          </cell>
        </row>
        <row r="10">
          <cell r="A10" t="str">
            <v>0000076035677</v>
          </cell>
          <cell r="B10" t="str">
            <v>0000076035677</v>
          </cell>
          <cell r="C10" t="str">
            <v>EKO PRASETYO</v>
          </cell>
          <cell r="D10" t="str">
            <v>50631</v>
          </cell>
          <cell r="E10" t="str">
            <v>PESERTA</v>
          </cell>
          <cell r="F10">
            <v>137507</v>
          </cell>
        </row>
        <row r="11">
          <cell r="A11" t="str">
            <v>0000076035677</v>
          </cell>
          <cell r="B11" t="str">
            <v>0001280151652</v>
          </cell>
          <cell r="C11" t="str">
            <v>SURYANTI</v>
          </cell>
          <cell r="D11" t="str">
            <v/>
          </cell>
          <cell r="E11" t="str">
            <v>ISTRI</v>
          </cell>
          <cell r="F11">
            <v>0</v>
          </cell>
        </row>
        <row r="12">
          <cell r="A12" t="str">
            <v>0000076035677</v>
          </cell>
          <cell r="B12" t="str">
            <v>0002778482722</v>
          </cell>
          <cell r="C12" t="str">
            <v>ALIFA NAUFALYN PRASETYA</v>
          </cell>
          <cell r="D12" t="str">
            <v/>
          </cell>
          <cell r="E12" t="str">
            <v>ANAK</v>
          </cell>
          <cell r="F12">
            <v>0</v>
          </cell>
        </row>
        <row r="13">
          <cell r="A13" t="str">
            <v>0000076035677</v>
          </cell>
          <cell r="B13" t="str">
            <v>0003063448372</v>
          </cell>
          <cell r="C13" t="str">
            <v>ARSHAKA VIRENDRA PRASETYO</v>
          </cell>
          <cell r="D13" t="str">
            <v/>
          </cell>
          <cell r="E13" t="str">
            <v>ANAK</v>
          </cell>
          <cell r="F13">
            <v>0</v>
          </cell>
        </row>
        <row r="14">
          <cell r="A14" t="str">
            <v>0000084700877</v>
          </cell>
          <cell r="B14" t="str">
            <v>0000084700877</v>
          </cell>
          <cell r="C14" t="str">
            <v>TRI SUMARTININGSIH</v>
          </cell>
          <cell r="D14" t="str">
            <v>30333</v>
          </cell>
          <cell r="E14" t="str">
            <v>PESERTA</v>
          </cell>
          <cell r="F14">
            <v>137657</v>
          </cell>
        </row>
        <row r="15">
          <cell r="A15" t="str">
            <v>0000337786896</v>
          </cell>
          <cell r="B15" t="str">
            <v>0000337786896</v>
          </cell>
          <cell r="C15" t="str">
            <v>RUSMIYANTO</v>
          </cell>
          <cell r="D15" t="str">
            <v>50840</v>
          </cell>
          <cell r="E15" t="str">
            <v>PESERTA</v>
          </cell>
          <cell r="F15">
            <v>137507</v>
          </cell>
        </row>
        <row r="16">
          <cell r="A16" t="str">
            <v>0000540033401</v>
          </cell>
          <cell r="B16" t="str">
            <v>0000540033401</v>
          </cell>
          <cell r="C16" t="str">
            <v>ROI KUSUMAWATI</v>
          </cell>
          <cell r="D16" t="str">
            <v>50624</v>
          </cell>
          <cell r="E16" t="str">
            <v>PESERTA</v>
          </cell>
          <cell r="F16">
            <v>137507</v>
          </cell>
        </row>
        <row r="17">
          <cell r="A17" t="str">
            <v>0000544423893</v>
          </cell>
          <cell r="B17" t="str">
            <v>0000544423893</v>
          </cell>
          <cell r="C17" t="str">
            <v>ROCHMAT BASUKI</v>
          </cell>
          <cell r="D17" t="str">
            <v>50786</v>
          </cell>
          <cell r="E17" t="str">
            <v>PESERTA</v>
          </cell>
          <cell r="F17">
            <v>137507</v>
          </cell>
        </row>
        <row r="18">
          <cell r="A18" t="str">
            <v>0000573109738</v>
          </cell>
          <cell r="B18" t="str">
            <v>0000573109738</v>
          </cell>
          <cell r="C18" t="str">
            <v>GALUH PANGESTU</v>
          </cell>
          <cell r="D18" t="str">
            <v>50833</v>
          </cell>
          <cell r="E18" t="str">
            <v>PESERTA</v>
          </cell>
          <cell r="F18">
            <v>137507</v>
          </cell>
        </row>
        <row r="19">
          <cell r="A19" t="str">
            <v>0000576066609</v>
          </cell>
          <cell r="B19" t="str">
            <v>0000576066609</v>
          </cell>
          <cell r="C19" t="str">
            <v>AGUS MARDIYANTO</v>
          </cell>
          <cell r="D19" t="str">
            <v>50821</v>
          </cell>
          <cell r="E19" t="str">
            <v>PESERTA</v>
          </cell>
          <cell r="F19">
            <v>137507</v>
          </cell>
        </row>
        <row r="20">
          <cell r="A20" t="str">
            <v>0000589290456</v>
          </cell>
          <cell r="B20" t="str">
            <v>0000589290456</v>
          </cell>
          <cell r="C20" t="str">
            <v>MOHAMMAD NUR MUCHAROM</v>
          </cell>
          <cell r="D20" t="str">
            <v>50795</v>
          </cell>
          <cell r="E20" t="str">
            <v>PESERTA</v>
          </cell>
          <cell r="F20">
            <v>140007</v>
          </cell>
        </row>
        <row r="21">
          <cell r="A21" t="str">
            <v>0000602146855</v>
          </cell>
          <cell r="B21" t="str">
            <v>0000602146855</v>
          </cell>
          <cell r="C21" t="str">
            <v>SANI NUR FAJRIYAH</v>
          </cell>
          <cell r="D21" t="str">
            <v>ujkpbi</v>
          </cell>
          <cell r="E21" t="str">
            <v>PESERTA</v>
          </cell>
          <cell r="F21">
            <v>137757</v>
          </cell>
        </row>
        <row r="22">
          <cell r="A22" t="str">
            <v>0000602146855</v>
          </cell>
          <cell r="B22" t="str">
            <v>0003294217034</v>
          </cell>
          <cell r="C22" t="str">
            <v>FAIZAL ARFI SEPTIAN</v>
          </cell>
          <cell r="E22" t="str">
            <v>ANAK</v>
          </cell>
          <cell r="F22">
            <v>0</v>
          </cell>
        </row>
        <row r="23">
          <cell r="A23" t="str">
            <v>0000602214118</v>
          </cell>
          <cell r="B23" t="str">
            <v>0000602214118</v>
          </cell>
          <cell r="C23" t="str">
            <v>NUR HIDAYAT FADHILA</v>
          </cell>
          <cell r="D23" t="str">
            <v>30385</v>
          </cell>
          <cell r="E23" t="str">
            <v>PESERTA</v>
          </cell>
          <cell r="F23">
            <v>137657</v>
          </cell>
        </row>
        <row r="24">
          <cell r="A24" t="str">
            <v>0000602248825</v>
          </cell>
          <cell r="B24" t="str">
            <v>0000602248825</v>
          </cell>
          <cell r="C24" t="str">
            <v>DEWI SULISTYOWATI</v>
          </cell>
          <cell r="D24" t="str">
            <v>50800</v>
          </cell>
          <cell r="E24" t="str">
            <v>PESERTA</v>
          </cell>
          <cell r="F24">
            <v>137507</v>
          </cell>
        </row>
        <row r="25">
          <cell r="A25" t="str">
            <v>0000602248825</v>
          </cell>
          <cell r="B25" t="str">
            <v>0002253469397</v>
          </cell>
          <cell r="C25" t="str">
            <v>AMIN</v>
          </cell>
          <cell r="D25" t="str">
            <v/>
          </cell>
          <cell r="E25" t="str">
            <v>SUAMI</v>
          </cell>
          <cell r="F25">
            <v>0</v>
          </cell>
        </row>
        <row r="26">
          <cell r="A26" t="str">
            <v>0000602248825</v>
          </cell>
          <cell r="B26" t="str">
            <v>0002419403185</v>
          </cell>
          <cell r="C26" t="str">
            <v>CHANTIKA ALLESYA</v>
          </cell>
          <cell r="D26" t="str">
            <v/>
          </cell>
          <cell r="E26" t="str">
            <v>ANAK</v>
          </cell>
          <cell r="F26">
            <v>0</v>
          </cell>
        </row>
        <row r="27">
          <cell r="A27" t="str">
            <v>0000602271191</v>
          </cell>
          <cell r="B27" t="str">
            <v>0000602271191</v>
          </cell>
          <cell r="C27" t="str">
            <v>AKHMAD MUJIBUL IKHSAN</v>
          </cell>
          <cell r="D27" t="str">
            <v>50593</v>
          </cell>
          <cell r="E27" t="str">
            <v>PESERTA</v>
          </cell>
          <cell r="F27">
            <v>137557</v>
          </cell>
        </row>
        <row r="28">
          <cell r="A28" t="str">
            <v>0000602579057</v>
          </cell>
          <cell r="B28" t="str">
            <v>0000602579057</v>
          </cell>
          <cell r="C28" t="str">
            <v>BAYU OKTYANTO PURNOMO</v>
          </cell>
          <cell r="D28" t="str">
            <v>50830</v>
          </cell>
          <cell r="E28" t="str">
            <v>PESERTA</v>
          </cell>
          <cell r="F28">
            <v>137507</v>
          </cell>
        </row>
        <row r="29">
          <cell r="A29" t="str">
            <v>0000602579057</v>
          </cell>
          <cell r="B29" t="str">
            <v>0003602458743</v>
          </cell>
          <cell r="C29" t="str">
            <v>GHEZA SURYA ADITAMA</v>
          </cell>
          <cell r="D29" t="str">
            <v/>
          </cell>
          <cell r="E29" t="str">
            <v>ANAK</v>
          </cell>
          <cell r="F29">
            <v>0</v>
          </cell>
        </row>
        <row r="30">
          <cell r="A30" t="str">
            <v>0000602607159</v>
          </cell>
          <cell r="B30" t="str">
            <v>0000602607159</v>
          </cell>
          <cell r="C30" t="str">
            <v>WISNU GILANG SAPUTRA</v>
          </cell>
          <cell r="D30" t="str">
            <v>50718</v>
          </cell>
          <cell r="E30" t="str">
            <v>PESERTA</v>
          </cell>
          <cell r="F30">
            <v>137507</v>
          </cell>
        </row>
        <row r="31">
          <cell r="A31" t="str">
            <v>0000603043345</v>
          </cell>
          <cell r="B31" t="str">
            <v>0000603043345</v>
          </cell>
          <cell r="C31" t="str">
            <v>SITI ROKHANINGSIH</v>
          </cell>
          <cell r="D31" t="str">
            <v>50545</v>
          </cell>
          <cell r="E31" t="str">
            <v>PESERTA</v>
          </cell>
          <cell r="F31">
            <v>137557</v>
          </cell>
        </row>
        <row r="32">
          <cell r="A32" t="str">
            <v>0000603043345</v>
          </cell>
          <cell r="B32" t="str">
            <v>0000603289247</v>
          </cell>
          <cell r="C32" t="str">
            <v>AMPRIH WIDODO</v>
          </cell>
          <cell r="D32" t="str">
            <v>50545</v>
          </cell>
          <cell r="E32" t="str">
            <v>SUAMI</v>
          </cell>
          <cell r="F32">
            <v>0</v>
          </cell>
        </row>
        <row r="33">
          <cell r="A33" t="str">
            <v>0000603043345</v>
          </cell>
          <cell r="B33" t="str">
            <v>0003513260957</v>
          </cell>
          <cell r="C33" t="str">
            <v>CALVIN HARIS ALVARO</v>
          </cell>
          <cell r="D33" t="str">
            <v/>
          </cell>
          <cell r="E33" t="str">
            <v>ANAK</v>
          </cell>
          <cell r="F33">
            <v>0</v>
          </cell>
        </row>
        <row r="34">
          <cell r="A34" t="str">
            <v>0000603235135</v>
          </cell>
          <cell r="B34" t="str">
            <v>0000603235135</v>
          </cell>
          <cell r="C34" t="str">
            <v>ISWATI</v>
          </cell>
          <cell r="D34" t="str">
            <v>50658</v>
          </cell>
          <cell r="E34" t="str">
            <v>PESERTA</v>
          </cell>
          <cell r="F34">
            <v>137507</v>
          </cell>
        </row>
        <row r="35">
          <cell r="A35" t="str">
            <v>0000603248883</v>
          </cell>
          <cell r="B35" t="str">
            <v>0000603248883</v>
          </cell>
          <cell r="C35" t="str">
            <v>MUHAMAD ARWANI</v>
          </cell>
          <cell r="D35" t="str">
            <v>ujkpbi</v>
          </cell>
          <cell r="E35" t="str">
            <v>PESERTA</v>
          </cell>
          <cell r="F35">
            <v>140257</v>
          </cell>
        </row>
        <row r="36">
          <cell r="A36" t="str">
            <v>0000603370315</v>
          </cell>
          <cell r="B36" t="str">
            <v>0000603370315</v>
          </cell>
          <cell r="C36" t="str">
            <v>XGHO HOLLYNDA PUTRI</v>
          </cell>
          <cell r="D36" t="str">
            <v>50812</v>
          </cell>
          <cell r="E36" t="str">
            <v>PESERTA</v>
          </cell>
          <cell r="F36">
            <v>137507</v>
          </cell>
        </row>
        <row r="37">
          <cell r="A37" t="str">
            <v>0000603383635</v>
          </cell>
          <cell r="B37" t="str">
            <v>0000603383635</v>
          </cell>
          <cell r="C37" t="str">
            <v>AGUS SAIT</v>
          </cell>
          <cell r="D37" t="str">
            <v>50664</v>
          </cell>
          <cell r="E37" t="str">
            <v>PESERTA</v>
          </cell>
          <cell r="F37">
            <v>137507</v>
          </cell>
        </row>
        <row r="38">
          <cell r="A38" t="str">
            <v>0000603448402</v>
          </cell>
          <cell r="B38" t="str">
            <v>0000603448402</v>
          </cell>
          <cell r="C38" t="str">
            <v>MUHAMAD</v>
          </cell>
          <cell r="D38" t="str">
            <v>50618</v>
          </cell>
          <cell r="E38" t="str">
            <v>PESERTA</v>
          </cell>
          <cell r="F38">
            <v>137507</v>
          </cell>
        </row>
        <row r="39">
          <cell r="A39" t="str">
            <v>0000603471655</v>
          </cell>
          <cell r="B39" t="str">
            <v>0000603471655</v>
          </cell>
          <cell r="C39" t="str">
            <v>KHALIS</v>
          </cell>
          <cell r="D39" t="str">
            <v>50597</v>
          </cell>
          <cell r="E39" t="str">
            <v>PESERTA</v>
          </cell>
          <cell r="F39">
            <v>137557</v>
          </cell>
        </row>
        <row r="40">
          <cell r="A40" t="str">
            <v>0000603535241</v>
          </cell>
          <cell r="B40" t="str">
            <v>0000603535241</v>
          </cell>
          <cell r="C40" t="str">
            <v>CHOLIK MAWARDI</v>
          </cell>
          <cell r="D40" t="str">
            <v>50626</v>
          </cell>
          <cell r="E40" t="str">
            <v>PESERTA</v>
          </cell>
          <cell r="F40">
            <v>137507</v>
          </cell>
        </row>
        <row r="41">
          <cell r="A41" t="str">
            <v>0000603647864</v>
          </cell>
          <cell r="B41" t="str">
            <v>0000603647864</v>
          </cell>
          <cell r="C41" t="str">
            <v>TOMI SURYA PANGESTU</v>
          </cell>
          <cell r="D41" t="str">
            <v>50637</v>
          </cell>
          <cell r="E41" t="str">
            <v>PESERTA</v>
          </cell>
          <cell r="F41">
            <v>137507</v>
          </cell>
        </row>
        <row r="42">
          <cell r="A42" t="str">
            <v>0000603668529</v>
          </cell>
          <cell r="B42" t="str">
            <v>0000603668529</v>
          </cell>
          <cell r="C42" t="str">
            <v>DENI WALOYO</v>
          </cell>
          <cell r="D42" t="str">
            <v>50809</v>
          </cell>
          <cell r="E42" t="str">
            <v>PESERTA</v>
          </cell>
          <cell r="F42">
            <v>137507</v>
          </cell>
        </row>
        <row r="43">
          <cell r="A43" t="str">
            <v>0000603668529</v>
          </cell>
          <cell r="B43" t="str">
            <v>0000573757299</v>
          </cell>
          <cell r="C43" t="str">
            <v>SITI AULIYAH</v>
          </cell>
          <cell r="D43" t="str">
            <v/>
          </cell>
          <cell r="E43" t="str">
            <v>ISTRI</v>
          </cell>
          <cell r="F43">
            <v>0</v>
          </cell>
        </row>
        <row r="44">
          <cell r="A44" t="str">
            <v>0000603715375</v>
          </cell>
          <cell r="B44" t="str">
            <v>0000603715375</v>
          </cell>
          <cell r="C44" t="str">
            <v>NOR INAYAH</v>
          </cell>
          <cell r="D44" t="str">
            <v>50653</v>
          </cell>
          <cell r="E44" t="str">
            <v>PESERTA</v>
          </cell>
          <cell r="F44">
            <v>137507</v>
          </cell>
        </row>
        <row r="45">
          <cell r="A45" t="str">
            <v>0000603715375</v>
          </cell>
          <cell r="B45" t="str">
            <v>0000602495954</v>
          </cell>
          <cell r="C45" t="str">
            <v>SARIYANTO</v>
          </cell>
          <cell r="D45" t="str">
            <v/>
          </cell>
          <cell r="E45" t="str">
            <v>SUAMI</v>
          </cell>
          <cell r="F45">
            <v>0</v>
          </cell>
        </row>
        <row r="46">
          <cell r="A46" t="str">
            <v>0000603715375</v>
          </cell>
          <cell r="B46" t="str">
            <v>0002462772958</v>
          </cell>
          <cell r="C46" t="str">
            <v>AQILLA FARIZA MUFIA</v>
          </cell>
          <cell r="D46" t="str">
            <v/>
          </cell>
          <cell r="E46" t="str">
            <v>ANAK</v>
          </cell>
          <cell r="F46">
            <v>0</v>
          </cell>
        </row>
        <row r="47">
          <cell r="A47" t="str">
            <v>0000603718119</v>
          </cell>
          <cell r="B47" t="str">
            <v>0000603718119</v>
          </cell>
          <cell r="C47" t="str">
            <v>MARDLIYAH</v>
          </cell>
          <cell r="D47" t="str">
            <v>50632</v>
          </cell>
          <cell r="E47" t="str">
            <v>PESERTA</v>
          </cell>
          <cell r="F47">
            <v>137507</v>
          </cell>
        </row>
        <row r="48">
          <cell r="A48" t="str">
            <v>0000603789221</v>
          </cell>
          <cell r="B48" t="str">
            <v>0000603789221</v>
          </cell>
          <cell r="C48" t="str">
            <v>PANGGIH RAHAYU SLAMET</v>
          </cell>
          <cell r="D48" t="str">
            <v>50683</v>
          </cell>
          <cell r="E48" t="str">
            <v>PESERTA</v>
          </cell>
          <cell r="F48">
            <v>137507</v>
          </cell>
        </row>
        <row r="49">
          <cell r="A49" t="str">
            <v>0000603860016</v>
          </cell>
          <cell r="B49" t="str">
            <v>0000603860016</v>
          </cell>
          <cell r="C49" t="str">
            <v>ABDUL RISALDI</v>
          </cell>
          <cell r="D49" t="str">
            <v>50710</v>
          </cell>
          <cell r="E49" t="str">
            <v>PESERTA</v>
          </cell>
          <cell r="F49">
            <v>137507</v>
          </cell>
        </row>
        <row r="50">
          <cell r="A50" t="str">
            <v>0000603887163</v>
          </cell>
          <cell r="B50" t="str">
            <v>0000603887163</v>
          </cell>
          <cell r="C50" t="str">
            <v>ALIFATUN MUSSROFAH</v>
          </cell>
          <cell r="D50" t="str">
            <v>50640</v>
          </cell>
          <cell r="E50" t="str">
            <v>PESERTA</v>
          </cell>
          <cell r="F50">
            <v>137507</v>
          </cell>
        </row>
        <row r="51">
          <cell r="A51" t="str">
            <v>0000603920946</v>
          </cell>
          <cell r="B51" t="str">
            <v>0000603920946</v>
          </cell>
          <cell r="C51" t="str">
            <v>ILHAM NUR CAHYO ADI SAPUTRO</v>
          </cell>
          <cell r="D51" t="str">
            <v>50834</v>
          </cell>
          <cell r="E51" t="str">
            <v>PESERTA</v>
          </cell>
          <cell r="F51">
            <v>137507</v>
          </cell>
        </row>
        <row r="52">
          <cell r="A52" t="str">
            <v>0000603949926</v>
          </cell>
          <cell r="B52" t="str">
            <v>0000603949926</v>
          </cell>
          <cell r="C52" t="str">
            <v>ARISKA NOVIYANTI</v>
          </cell>
          <cell r="D52" t="str">
            <v>50646</v>
          </cell>
          <cell r="E52" t="str">
            <v>PESERTA</v>
          </cell>
          <cell r="F52">
            <v>137507</v>
          </cell>
        </row>
        <row r="53">
          <cell r="A53" t="str">
            <v>0000604191341</v>
          </cell>
          <cell r="B53" t="str">
            <v>0000604191341</v>
          </cell>
          <cell r="C53" t="str">
            <v>WAGIYEM</v>
          </cell>
          <cell r="D53" t="str">
            <v>ujk</v>
          </cell>
          <cell r="E53" t="str">
            <v>PESERTA</v>
          </cell>
          <cell r="F53">
            <v>137507</v>
          </cell>
        </row>
        <row r="54">
          <cell r="A54" t="str">
            <v>0000604217665</v>
          </cell>
          <cell r="B54" t="str">
            <v>0000604217665</v>
          </cell>
          <cell r="C54" t="str">
            <v>FANDI FABRIAN</v>
          </cell>
          <cell r="D54" t="str">
            <v>UJKPBI</v>
          </cell>
          <cell r="E54" t="str">
            <v>PESERTA</v>
          </cell>
          <cell r="F54">
            <v>146864</v>
          </cell>
        </row>
        <row r="55">
          <cell r="A55" t="str">
            <v>0000604217665</v>
          </cell>
          <cell r="B55" t="str">
            <v>0003501048339</v>
          </cell>
          <cell r="C55" t="str">
            <v>SAILA ANNASYA PUTRI</v>
          </cell>
          <cell r="D55" t="str">
            <v>UJKPBI</v>
          </cell>
          <cell r="E55" t="str">
            <v>ANAK</v>
          </cell>
          <cell r="F55">
            <v>0</v>
          </cell>
        </row>
        <row r="56">
          <cell r="A56" t="str">
            <v>0000604217845</v>
          </cell>
          <cell r="B56" t="str">
            <v>0000604217845</v>
          </cell>
          <cell r="C56" t="str">
            <v>DIKY KURNIAWAN</v>
          </cell>
          <cell r="D56" t="str">
            <v>50716</v>
          </cell>
          <cell r="E56" t="str">
            <v>PESERTA</v>
          </cell>
          <cell r="F56">
            <v>137507</v>
          </cell>
        </row>
        <row r="57">
          <cell r="A57" t="str">
            <v>0000605247232</v>
          </cell>
          <cell r="B57" t="str">
            <v>0000605247232</v>
          </cell>
          <cell r="C57" t="str">
            <v>WAHYU CANDRA SETIYA</v>
          </cell>
          <cell r="D57" t="str">
            <v>50644</v>
          </cell>
          <cell r="E57" t="str">
            <v>PESERTA</v>
          </cell>
          <cell r="F57">
            <v>137507</v>
          </cell>
        </row>
        <row r="58">
          <cell r="A58" t="str">
            <v>0000606694702</v>
          </cell>
          <cell r="B58" t="str">
            <v>0000606694702</v>
          </cell>
          <cell r="C58" t="str">
            <v>VETI VERA</v>
          </cell>
          <cell r="D58" t="str">
            <v>50845</v>
          </cell>
          <cell r="E58" t="str">
            <v>PESERTA</v>
          </cell>
          <cell r="F58">
            <v>137507</v>
          </cell>
        </row>
        <row r="59">
          <cell r="A59" t="str">
            <v>0000625852607</v>
          </cell>
          <cell r="B59" t="str">
            <v>0000625852607</v>
          </cell>
          <cell r="C59" t="str">
            <v>MIFTAHUDIN</v>
          </cell>
          <cell r="D59" t="str">
            <v>ujkpbi</v>
          </cell>
          <cell r="E59" t="str">
            <v>PESERTA</v>
          </cell>
          <cell r="F59">
            <v>137757</v>
          </cell>
        </row>
        <row r="60">
          <cell r="A60" t="str">
            <v>0000641210117</v>
          </cell>
          <cell r="B60" t="str">
            <v>0000641210117</v>
          </cell>
          <cell r="C60" t="str">
            <v>RIAN CAHYA</v>
          </cell>
          <cell r="D60" t="str">
            <v>50819</v>
          </cell>
          <cell r="E60" t="str">
            <v>PESERTA</v>
          </cell>
          <cell r="F60">
            <v>137507</v>
          </cell>
        </row>
        <row r="61">
          <cell r="A61" t="str">
            <v>0000641258289</v>
          </cell>
          <cell r="B61" t="str">
            <v>0000641258289</v>
          </cell>
          <cell r="C61" t="str">
            <v>DIAN SAFITRI</v>
          </cell>
          <cell r="D61" t="str">
            <v>50707</v>
          </cell>
          <cell r="E61" t="str">
            <v>PESERTA</v>
          </cell>
          <cell r="F61">
            <v>137507</v>
          </cell>
        </row>
        <row r="62">
          <cell r="A62" t="str">
            <v>0000641549103</v>
          </cell>
          <cell r="B62" t="str">
            <v>0000641549103</v>
          </cell>
          <cell r="C62" t="str">
            <v>CUT UMMI ROEHCEUDAH PUTRI</v>
          </cell>
          <cell r="D62" t="str">
            <v>50740</v>
          </cell>
          <cell r="E62" t="str">
            <v>PESERTA</v>
          </cell>
          <cell r="F62">
            <v>137507</v>
          </cell>
        </row>
        <row r="63">
          <cell r="A63" t="str">
            <v>0000643165255</v>
          </cell>
          <cell r="B63" t="str">
            <v>0000643165255</v>
          </cell>
          <cell r="C63" t="str">
            <v>ONG, KRISTIN</v>
          </cell>
          <cell r="D63" t="str">
            <v>30389</v>
          </cell>
          <cell r="E63" t="str">
            <v>PESERTA</v>
          </cell>
          <cell r="F63">
            <v>137657</v>
          </cell>
        </row>
        <row r="64">
          <cell r="A64" t="str">
            <v>0000643165255</v>
          </cell>
          <cell r="B64" t="str">
            <v>0001380835383</v>
          </cell>
          <cell r="C64" t="str">
            <v>WISHNU MURTI</v>
          </cell>
          <cell r="D64" t="str">
            <v>30389</v>
          </cell>
          <cell r="E64" t="str">
            <v>SUAMI</v>
          </cell>
          <cell r="F64">
            <v>0</v>
          </cell>
        </row>
        <row r="65">
          <cell r="A65" t="str">
            <v>0000647862715</v>
          </cell>
          <cell r="B65" t="str">
            <v>0000647862715</v>
          </cell>
          <cell r="C65" t="str">
            <v>SRI SAFITRI</v>
          </cell>
          <cell r="D65" t="str">
            <v>50759</v>
          </cell>
          <cell r="E65" t="str">
            <v>PESERTA</v>
          </cell>
          <cell r="F65">
            <v>137507</v>
          </cell>
        </row>
        <row r="66">
          <cell r="A66" t="str">
            <v>0000677603698</v>
          </cell>
          <cell r="B66" t="str">
            <v>0000677603698</v>
          </cell>
          <cell r="C66" t="str">
            <v>CHANDRA DWI SETIAWAN</v>
          </cell>
          <cell r="D66" t="str">
            <v>50596</v>
          </cell>
          <cell r="E66" t="str">
            <v>PESERTA</v>
          </cell>
          <cell r="F66">
            <v>137557</v>
          </cell>
        </row>
        <row r="67">
          <cell r="A67" t="str">
            <v>0000738106255</v>
          </cell>
          <cell r="B67" t="str">
            <v>0000738106255</v>
          </cell>
          <cell r="C67" t="str">
            <v>DIANA AYU LESTARI</v>
          </cell>
          <cell r="D67" t="str">
            <v>50685</v>
          </cell>
          <cell r="E67" t="str">
            <v>PESERTA</v>
          </cell>
          <cell r="F67">
            <v>137507</v>
          </cell>
        </row>
        <row r="68">
          <cell r="A68" t="str">
            <v>0000738106255</v>
          </cell>
          <cell r="B68" t="str">
            <v>0003565484234</v>
          </cell>
          <cell r="C68" t="str">
            <v>AFFAN ADIATMA SUPRIYADI</v>
          </cell>
          <cell r="D68" t="str">
            <v>50685</v>
          </cell>
          <cell r="E68" t="str">
            <v>ANAK</v>
          </cell>
          <cell r="F68">
            <v>0</v>
          </cell>
        </row>
        <row r="69">
          <cell r="A69" t="str">
            <v>0001025138507</v>
          </cell>
          <cell r="B69" t="str">
            <v>0001025138507</v>
          </cell>
          <cell r="C69" t="str">
            <v>NUR ALI</v>
          </cell>
          <cell r="D69" t="str">
            <v>3033</v>
          </cell>
          <cell r="E69" t="str">
            <v>PESERTA</v>
          </cell>
          <cell r="F69">
            <v>137757</v>
          </cell>
        </row>
        <row r="70">
          <cell r="A70" t="str">
            <v>0001025138507</v>
          </cell>
          <cell r="B70" t="str">
            <v>0001025138518</v>
          </cell>
          <cell r="C70" t="str">
            <v>SAMINI</v>
          </cell>
          <cell r="D70" t="str">
            <v/>
          </cell>
          <cell r="E70" t="str">
            <v>ISTRI</v>
          </cell>
          <cell r="F70">
            <v>0</v>
          </cell>
        </row>
        <row r="71">
          <cell r="A71" t="str">
            <v>0001027848958</v>
          </cell>
          <cell r="B71" t="str">
            <v>0001027848958</v>
          </cell>
          <cell r="C71" t="str">
            <v>WAHYU FITRI ENDIKA</v>
          </cell>
          <cell r="D71" t="str">
            <v>50726</v>
          </cell>
          <cell r="E71" t="str">
            <v>PESERTA</v>
          </cell>
          <cell r="F71">
            <v>137507</v>
          </cell>
        </row>
        <row r="72">
          <cell r="A72" t="str">
            <v>0001027853919</v>
          </cell>
          <cell r="B72" t="str">
            <v>0001027853919</v>
          </cell>
          <cell r="C72" t="str">
            <v>ASMANAH</v>
          </cell>
          <cell r="D72" t="str">
            <v>ujkpbi</v>
          </cell>
          <cell r="E72" t="str">
            <v>PESERTA</v>
          </cell>
          <cell r="F72">
            <v>137657</v>
          </cell>
        </row>
        <row r="73">
          <cell r="A73" t="str">
            <v>0001027879457</v>
          </cell>
          <cell r="B73" t="str">
            <v>0001027879457</v>
          </cell>
          <cell r="C73" t="str">
            <v>NUR AKMALIA</v>
          </cell>
          <cell r="D73" t="str">
            <v>50639</v>
          </cell>
          <cell r="E73" t="str">
            <v>PESERTA</v>
          </cell>
          <cell r="F73">
            <v>137507</v>
          </cell>
        </row>
        <row r="74">
          <cell r="A74" t="str">
            <v>0001027879457</v>
          </cell>
          <cell r="B74" t="str">
            <v>0003609869534</v>
          </cell>
          <cell r="C74" t="str">
            <v>BHIANKA BHERLIANA PUTRI</v>
          </cell>
          <cell r="D74" t="str">
            <v>50639</v>
          </cell>
          <cell r="E74" t="str">
            <v>ANAK</v>
          </cell>
          <cell r="F74">
            <v>0</v>
          </cell>
        </row>
        <row r="75">
          <cell r="A75" t="str">
            <v>0001027879457</v>
          </cell>
          <cell r="B75" t="str">
            <v>0003609870906</v>
          </cell>
          <cell r="C75" t="str">
            <v>FABIANO PUTRA AKMAL</v>
          </cell>
          <cell r="D75" t="str">
            <v>50639</v>
          </cell>
          <cell r="E75" t="str">
            <v>ANAK</v>
          </cell>
          <cell r="F75">
            <v>0</v>
          </cell>
        </row>
        <row r="76">
          <cell r="A76" t="str">
            <v>0001027892755</v>
          </cell>
          <cell r="B76" t="str">
            <v>0001027892755</v>
          </cell>
          <cell r="C76" t="str">
            <v>ISTIKOMAH</v>
          </cell>
          <cell r="D76" t="str">
            <v>50668</v>
          </cell>
          <cell r="E76" t="str">
            <v>PESERTA</v>
          </cell>
          <cell r="F76">
            <v>137507</v>
          </cell>
        </row>
        <row r="77">
          <cell r="A77" t="str">
            <v>0001038104122</v>
          </cell>
          <cell r="B77" t="str">
            <v>0001038104122</v>
          </cell>
          <cell r="C77" t="str">
            <v>SANDY PRASETYO</v>
          </cell>
          <cell r="D77" t="str">
            <v>50608</v>
          </cell>
          <cell r="E77" t="str">
            <v>PESERTA</v>
          </cell>
          <cell r="F77">
            <v>137557</v>
          </cell>
        </row>
        <row r="78">
          <cell r="A78" t="str">
            <v>0001134639268</v>
          </cell>
          <cell r="B78" t="str">
            <v>0001134639268</v>
          </cell>
          <cell r="C78" t="str">
            <v>DODIK NUGROHO</v>
          </cell>
          <cell r="D78" t="str">
            <v>50814</v>
          </cell>
          <cell r="E78" t="str">
            <v>PESERTA</v>
          </cell>
          <cell r="F78">
            <v>137507</v>
          </cell>
        </row>
        <row r="79">
          <cell r="A79" t="str">
            <v>0001138692249</v>
          </cell>
          <cell r="B79" t="str">
            <v>0001138692249</v>
          </cell>
          <cell r="C79" t="str">
            <v>MUSDIANTO</v>
          </cell>
          <cell r="D79" t="str">
            <v>50594</v>
          </cell>
          <cell r="E79" t="str">
            <v>PESERTA</v>
          </cell>
          <cell r="F79">
            <v>137557</v>
          </cell>
        </row>
        <row r="80">
          <cell r="A80" t="str">
            <v>0001138692249</v>
          </cell>
          <cell r="B80" t="str">
            <v>0001175953566</v>
          </cell>
          <cell r="C80" t="str">
            <v>SITI WULANDARI</v>
          </cell>
          <cell r="D80" t="str">
            <v/>
          </cell>
          <cell r="E80" t="str">
            <v>ISTRI</v>
          </cell>
          <cell r="F80">
            <v>0</v>
          </cell>
        </row>
        <row r="81">
          <cell r="A81" t="str">
            <v>0001138692249</v>
          </cell>
          <cell r="B81" t="str">
            <v>0001175953577</v>
          </cell>
          <cell r="C81" t="str">
            <v>NAUFAL SU'UDI</v>
          </cell>
          <cell r="D81" t="str">
            <v/>
          </cell>
          <cell r="E81" t="str">
            <v>ANAK</v>
          </cell>
          <cell r="F81">
            <v>0</v>
          </cell>
        </row>
        <row r="82">
          <cell r="A82" t="str">
            <v>0001138692249</v>
          </cell>
          <cell r="B82" t="str">
            <v>0003302906433</v>
          </cell>
          <cell r="C82" t="str">
            <v>FATIH NURI FAEYZA</v>
          </cell>
          <cell r="D82" t="str">
            <v/>
          </cell>
          <cell r="E82" t="str">
            <v>ANAK</v>
          </cell>
          <cell r="F82">
            <v>0</v>
          </cell>
        </row>
        <row r="83">
          <cell r="A83" t="str">
            <v>0001138762719</v>
          </cell>
          <cell r="B83" t="str">
            <v>0001138762719</v>
          </cell>
          <cell r="C83" t="str">
            <v>EKO HENDRIYONO</v>
          </cell>
          <cell r="D83" t="str">
            <v>UJK</v>
          </cell>
          <cell r="E83" t="str">
            <v>PESERTA</v>
          </cell>
          <cell r="F83">
            <v>143757</v>
          </cell>
        </row>
        <row r="84">
          <cell r="A84" t="str">
            <v>0001138762719</v>
          </cell>
          <cell r="B84" t="str">
            <v>0002613767589</v>
          </cell>
          <cell r="C84" t="str">
            <v>MUHAMMAD AKSSA DHIAURRAHMAN</v>
          </cell>
          <cell r="D84" t="str">
            <v>UJK</v>
          </cell>
          <cell r="E84" t="str">
            <v>ANAK</v>
          </cell>
          <cell r="F84">
            <v>0</v>
          </cell>
        </row>
        <row r="85">
          <cell r="A85" t="str">
            <v>0001138762719</v>
          </cell>
          <cell r="B85" t="str">
            <v>0002771667011</v>
          </cell>
          <cell r="C85" t="str">
            <v>KINNAS  NUR  INDIRRA  SARASWATI</v>
          </cell>
          <cell r="D85" t="str">
            <v>UJK</v>
          </cell>
          <cell r="E85" t="str">
            <v>ANAK</v>
          </cell>
          <cell r="F85">
            <v>0</v>
          </cell>
        </row>
        <row r="86">
          <cell r="A86" t="str">
            <v>0001139621679</v>
          </cell>
          <cell r="B86" t="str">
            <v>0001139621679</v>
          </cell>
          <cell r="C86" t="str">
            <v>DWI ASTUTI</v>
          </cell>
          <cell r="D86" t="str">
            <v>ujk</v>
          </cell>
          <cell r="E86" t="str">
            <v>PESERTA</v>
          </cell>
          <cell r="F86">
            <v>137507</v>
          </cell>
        </row>
        <row r="87">
          <cell r="A87" t="str">
            <v>0001155509122</v>
          </cell>
          <cell r="B87" t="str">
            <v>0001155509122</v>
          </cell>
          <cell r="C87" t="str">
            <v>TINA WIJI SURYANI</v>
          </cell>
          <cell r="D87" t="str">
            <v>sc10032015</v>
          </cell>
          <cell r="E87" t="str">
            <v>PESERTA</v>
          </cell>
          <cell r="F87">
            <v>218750</v>
          </cell>
        </row>
        <row r="88">
          <cell r="A88" t="str">
            <v>0001155509122</v>
          </cell>
          <cell r="B88" t="str">
            <v>0001307199892</v>
          </cell>
          <cell r="C88" t="str">
            <v>SARMIDI</v>
          </cell>
          <cell r="D88" t="str">
            <v/>
          </cell>
          <cell r="E88" t="str">
            <v>SUAMI</v>
          </cell>
          <cell r="F88">
            <v>0</v>
          </cell>
        </row>
        <row r="89">
          <cell r="A89" t="str">
            <v>0001155509122</v>
          </cell>
          <cell r="B89" t="str">
            <v>0001307200432</v>
          </cell>
          <cell r="C89" t="str">
            <v>KELVIN SURYA ANANDA</v>
          </cell>
          <cell r="D89" t="str">
            <v/>
          </cell>
          <cell r="E89" t="str">
            <v>ANAK</v>
          </cell>
          <cell r="F89">
            <v>0</v>
          </cell>
        </row>
        <row r="90">
          <cell r="A90" t="str">
            <v>0001155509122</v>
          </cell>
          <cell r="B90" t="str">
            <v>0002060282586</v>
          </cell>
          <cell r="C90" t="str">
            <v>SALMA PUTRI MULIA</v>
          </cell>
          <cell r="D90" t="str">
            <v/>
          </cell>
          <cell r="E90" t="str">
            <v>ANAK</v>
          </cell>
          <cell r="F90">
            <v>0</v>
          </cell>
        </row>
        <row r="91">
          <cell r="A91" t="str">
            <v>0001155509122</v>
          </cell>
          <cell r="B91" t="str">
            <v>0003066280255</v>
          </cell>
          <cell r="C91" t="str">
            <v>AISHWA NAHLA WIDIYANI</v>
          </cell>
          <cell r="D91" t="str">
            <v>sc10032015</v>
          </cell>
          <cell r="E91" t="str">
            <v>ANAK</v>
          </cell>
          <cell r="F91">
            <v>0</v>
          </cell>
        </row>
        <row r="92">
          <cell r="A92" t="str">
            <v>0001161108483</v>
          </cell>
          <cell r="B92" t="str">
            <v>0001161108483</v>
          </cell>
          <cell r="C92" t="str">
            <v>HARIYANI PUJI ASTUTI</v>
          </cell>
          <cell r="D92" t="str">
            <v>50693</v>
          </cell>
          <cell r="E92" t="str">
            <v>PESERTA</v>
          </cell>
          <cell r="F92">
            <v>137507</v>
          </cell>
        </row>
        <row r="93">
          <cell r="A93" t="str">
            <v>0001161108483</v>
          </cell>
          <cell r="B93" t="str">
            <v>0001129896314</v>
          </cell>
          <cell r="C93" t="str">
            <v>AGUNG SANTOSA</v>
          </cell>
          <cell r="D93" t="str">
            <v/>
          </cell>
          <cell r="E93" t="str">
            <v>SUAMI</v>
          </cell>
          <cell r="F93">
            <v>0</v>
          </cell>
        </row>
        <row r="94">
          <cell r="A94" t="str">
            <v>0001161108483</v>
          </cell>
          <cell r="B94" t="str">
            <v>0001896783107</v>
          </cell>
          <cell r="C94" t="str">
            <v>NAZEERA SHAFA AGUSTIN</v>
          </cell>
          <cell r="D94" t="str">
            <v/>
          </cell>
          <cell r="E94" t="str">
            <v>ANAK</v>
          </cell>
          <cell r="F94">
            <v>0</v>
          </cell>
        </row>
        <row r="95">
          <cell r="A95" t="str">
            <v>0001161108483</v>
          </cell>
          <cell r="B95" t="str">
            <v>0001896782692</v>
          </cell>
          <cell r="C95" t="str">
            <v>NAFEEZA SHIFA AGUSTIN</v>
          </cell>
          <cell r="D95" t="str">
            <v/>
          </cell>
          <cell r="E95" t="str">
            <v>ANAK</v>
          </cell>
          <cell r="F95">
            <v>0</v>
          </cell>
        </row>
        <row r="96">
          <cell r="A96" t="str">
            <v>0001161146474</v>
          </cell>
          <cell r="B96" t="str">
            <v>0001161146474</v>
          </cell>
          <cell r="C96" t="str">
            <v>RIYADHUL MAIYAH</v>
          </cell>
          <cell r="D96" t="str">
            <v>50599</v>
          </cell>
          <cell r="E96" t="str">
            <v>PESERTA</v>
          </cell>
          <cell r="F96">
            <v>137557</v>
          </cell>
        </row>
        <row r="97">
          <cell r="A97" t="str">
            <v>0001161152122</v>
          </cell>
          <cell r="B97" t="str">
            <v>0001161152122</v>
          </cell>
          <cell r="C97" t="str">
            <v>TONI HERMAWAN</v>
          </cell>
          <cell r="D97" t="str">
            <v>ujk</v>
          </cell>
          <cell r="E97" t="str">
            <v>PESERTA</v>
          </cell>
          <cell r="F97">
            <v>150697</v>
          </cell>
        </row>
        <row r="98">
          <cell r="A98" t="str">
            <v>0001161152122</v>
          </cell>
          <cell r="B98" t="str">
            <v>0001280189665</v>
          </cell>
          <cell r="C98" t="str">
            <v>MAYA ASTRIYANINGSIH</v>
          </cell>
          <cell r="D98" t="str">
            <v>ujk</v>
          </cell>
          <cell r="E98" t="str">
            <v>ISTRI</v>
          </cell>
          <cell r="F98">
            <v>0</v>
          </cell>
        </row>
        <row r="99">
          <cell r="A99" t="str">
            <v>0001161152122</v>
          </cell>
          <cell r="B99" t="str">
            <v>0003605576837</v>
          </cell>
          <cell r="C99" t="str">
            <v>NAVYA ANJULITA HERMAWAN</v>
          </cell>
          <cell r="D99" t="str">
            <v>ujk</v>
          </cell>
          <cell r="E99" t="str">
            <v>ANAK</v>
          </cell>
          <cell r="F99">
            <v>0</v>
          </cell>
        </row>
        <row r="100">
          <cell r="A100" t="str">
            <v>0001161185973</v>
          </cell>
          <cell r="B100" t="str">
            <v>0001161185973</v>
          </cell>
          <cell r="C100" t="str">
            <v>SRIYANI</v>
          </cell>
          <cell r="D100" t="str">
            <v>50600</v>
          </cell>
          <cell r="E100" t="str">
            <v>PESERTA</v>
          </cell>
          <cell r="F100">
            <v>137557</v>
          </cell>
        </row>
        <row r="101">
          <cell r="A101" t="str">
            <v>0001161185973</v>
          </cell>
          <cell r="B101" t="str">
            <v>0001129906089</v>
          </cell>
          <cell r="C101" t="str">
            <v>MOCHAMAD NASOKA</v>
          </cell>
          <cell r="D101" t="str">
            <v/>
          </cell>
          <cell r="E101" t="str">
            <v>SUAMI</v>
          </cell>
          <cell r="F101">
            <v>0</v>
          </cell>
        </row>
        <row r="102">
          <cell r="A102" t="str">
            <v>0001161185973</v>
          </cell>
          <cell r="B102" t="str">
            <v>0001197556558</v>
          </cell>
          <cell r="C102" t="str">
            <v>NASYAMIA FATHIRA BINTANG</v>
          </cell>
          <cell r="D102" t="str">
            <v/>
          </cell>
          <cell r="E102" t="str">
            <v>ANAK</v>
          </cell>
          <cell r="F102">
            <v>0</v>
          </cell>
        </row>
        <row r="103">
          <cell r="A103" t="str">
            <v>0001167209548</v>
          </cell>
          <cell r="B103" t="str">
            <v>0001167209548</v>
          </cell>
          <cell r="C103" t="str">
            <v>EKA WIDYAS TUTIK</v>
          </cell>
          <cell r="D103" t="str">
            <v>50698</v>
          </cell>
          <cell r="E103" t="str">
            <v>PESERTA</v>
          </cell>
          <cell r="F103">
            <v>137507</v>
          </cell>
        </row>
        <row r="104">
          <cell r="A104" t="str">
            <v>0001167209548</v>
          </cell>
          <cell r="B104" t="str">
            <v>0001169546501</v>
          </cell>
          <cell r="C104" t="str">
            <v>VIAR LINTANG APRILLYA YUKA</v>
          </cell>
          <cell r="D104" t="str">
            <v/>
          </cell>
          <cell r="E104" t="str">
            <v>ANAK</v>
          </cell>
          <cell r="F104">
            <v>0</v>
          </cell>
        </row>
        <row r="105">
          <cell r="A105" t="str">
            <v>0001167209548</v>
          </cell>
          <cell r="B105" t="str">
            <v>0001870575557</v>
          </cell>
          <cell r="C105" t="str">
            <v>REIVAN JALU APRILLYA YUKA</v>
          </cell>
          <cell r="D105" t="str">
            <v/>
          </cell>
          <cell r="E105" t="str">
            <v>ANAK</v>
          </cell>
          <cell r="F105">
            <v>0</v>
          </cell>
        </row>
        <row r="106">
          <cell r="A106" t="str">
            <v>0001171209216</v>
          </cell>
          <cell r="B106" t="str">
            <v>0001171209216</v>
          </cell>
          <cell r="C106" t="str">
            <v>TRI YUANA</v>
          </cell>
          <cell r="D106" t="str">
            <v>50654</v>
          </cell>
          <cell r="E106" t="str">
            <v>PESERTA</v>
          </cell>
          <cell r="F106">
            <v>137507</v>
          </cell>
        </row>
        <row r="107">
          <cell r="A107" t="str">
            <v>0001176526607</v>
          </cell>
          <cell r="B107" t="str">
            <v>0001176526607</v>
          </cell>
          <cell r="C107" t="str">
            <v>SATYAHADI MURDITOMO</v>
          </cell>
          <cell r="D107" t="str">
            <v>ujk</v>
          </cell>
          <cell r="E107" t="str">
            <v>PESERTA</v>
          </cell>
          <cell r="F107">
            <v>233750</v>
          </cell>
        </row>
        <row r="108">
          <cell r="A108" t="str">
            <v>0001176526607</v>
          </cell>
          <cell r="B108" t="str">
            <v>0001134372339</v>
          </cell>
          <cell r="C108" t="str">
            <v>BUDI MAYASARI</v>
          </cell>
          <cell r="D108" t="str">
            <v/>
          </cell>
          <cell r="E108" t="str">
            <v>ISTRI</v>
          </cell>
          <cell r="F108">
            <v>0</v>
          </cell>
        </row>
        <row r="109">
          <cell r="A109" t="str">
            <v>0001176526607</v>
          </cell>
          <cell r="B109" t="str">
            <v>0001176526618</v>
          </cell>
          <cell r="C109" t="str">
            <v>DISTYA LINTANG MURPANGRUKTI</v>
          </cell>
          <cell r="D109" t="str">
            <v/>
          </cell>
          <cell r="E109" t="str">
            <v>ANAK</v>
          </cell>
          <cell r="F109">
            <v>0</v>
          </cell>
        </row>
        <row r="110">
          <cell r="A110" t="str">
            <v>0001176526607</v>
          </cell>
          <cell r="B110" t="str">
            <v>0001907791716</v>
          </cell>
          <cell r="C110" t="str">
            <v>DAMAR LUHUNG MURDWIARYO</v>
          </cell>
          <cell r="D110" t="str">
            <v/>
          </cell>
          <cell r="E110" t="str">
            <v>ANAK</v>
          </cell>
          <cell r="F110">
            <v>0</v>
          </cell>
        </row>
        <row r="111">
          <cell r="A111" t="str">
            <v>0001184665972</v>
          </cell>
          <cell r="B111" t="str">
            <v>0001184665972</v>
          </cell>
          <cell r="C111" t="str">
            <v>ALVIN ABDI PUTRA</v>
          </cell>
          <cell r="D111" t="str">
            <v>50820</v>
          </cell>
          <cell r="E111" t="str">
            <v>PESERTA</v>
          </cell>
          <cell r="F111">
            <v>137507</v>
          </cell>
        </row>
        <row r="112">
          <cell r="A112" t="str">
            <v>0001262587959</v>
          </cell>
          <cell r="B112" t="str">
            <v>0001262587959</v>
          </cell>
          <cell r="C112" t="str">
            <v>MUAWANAH</v>
          </cell>
          <cell r="D112" t="str">
            <v>bc</v>
          </cell>
          <cell r="E112" t="str">
            <v>PESERTA</v>
          </cell>
          <cell r="F112">
            <v>141257</v>
          </cell>
        </row>
        <row r="113">
          <cell r="A113" t="str">
            <v>0001276110516</v>
          </cell>
          <cell r="B113" t="str">
            <v>0001276110516</v>
          </cell>
          <cell r="C113" t="str">
            <v>WIRDIATUN</v>
          </cell>
          <cell r="D113" t="str">
            <v>50588</v>
          </cell>
          <cell r="E113" t="str">
            <v>PESERTA</v>
          </cell>
          <cell r="F113">
            <v>218500</v>
          </cell>
        </row>
        <row r="114">
          <cell r="A114" t="str">
            <v>0001279815851</v>
          </cell>
          <cell r="B114" t="str">
            <v>0001279815851</v>
          </cell>
          <cell r="C114" t="str">
            <v>NADINE AZZAHRA</v>
          </cell>
          <cell r="D114" t="str">
            <v>50832</v>
          </cell>
          <cell r="E114" t="str">
            <v>PESERTA</v>
          </cell>
          <cell r="F114">
            <v>137507</v>
          </cell>
        </row>
        <row r="115">
          <cell r="A115" t="str">
            <v>0001314400307</v>
          </cell>
          <cell r="B115" t="str">
            <v>0001314400307</v>
          </cell>
          <cell r="C115" t="str">
            <v>ISTIQOMAH</v>
          </cell>
          <cell r="D115" t="str">
            <v>50662</v>
          </cell>
          <cell r="E115" t="str">
            <v>PESERTA</v>
          </cell>
          <cell r="F115">
            <v>137507</v>
          </cell>
        </row>
        <row r="116">
          <cell r="A116" t="str">
            <v>0001314400307</v>
          </cell>
          <cell r="B116" t="str">
            <v>0001314399587</v>
          </cell>
          <cell r="C116" t="str">
            <v>SARJONO</v>
          </cell>
          <cell r="D116" t="str">
            <v/>
          </cell>
          <cell r="E116" t="str">
            <v>SUAMI</v>
          </cell>
          <cell r="F116">
            <v>0</v>
          </cell>
        </row>
        <row r="117">
          <cell r="A117" t="str">
            <v>0001314400307</v>
          </cell>
          <cell r="B117" t="str">
            <v>0001813712321</v>
          </cell>
          <cell r="C117" t="str">
            <v>MICKEY LLORIS OCTAVIAN</v>
          </cell>
          <cell r="D117" t="str">
            <v/>
          </cell>
          <cell r="E117" t="str">
            <v>ANAK</v>
          </cell>
          <cell r="F117">
            <v>0</v>
          </cell>
        </row>
        <row r="118">
          <cell r="A118" t="str">
            <v>0001322466546</v>
          </cell>
          <cell r="B118" t="str">
            <v>0001322466546</v>
          </cell>
          <cell r="C118" t="str">
            <v>FENY SUSANTI</v>
          </cell>
          <cell r="D118" t="str">
            <v>50715</v>
          </cell>
          <cell r="E118" t="str">
            <v>PESERTA</v>
          </cell>
          <cell r="F118">
            <v>137507</v>
          </cell>
        </row>
        <row r="119">
          <cell r="A119" t="str">
            <v>0001322466546</v>
          </cell>
          <cell r="B119" t="str">
            <v>0003611287091</v>
          </cell>
          <cell r="C119" t="str">
            <v>QUEENA ABELL FALYSHA</v>
          </cell>
          <cell r="D119" t="str">
            <v>50715</v>
          </cell>
          <cell r="E119" t="str">
            <v>ANAK</v>
          </cell>
          <cell r="F119">
            <v>0</v>
          </cell>
        </row>
        <row r="120">
          <cell r="A120" t="str">
            <v>0001322466546</v>
          </cell>
          <cell r="B120" t="str">
            <v>0001325159717</v>
          </cell>
          <cell r="C120" t="str">
            <v>QUERIDA KYNTHIA CALLISTA</v>
          </cell>
          <cell r="D120" t="str">
            <v/>
          </cell>
          <cell r="E120" t="str">
            <v>ANAK</v>
          </cell>
          <cell r="F120">
            <v>0</v>
          </cell>
        </row>
        <row r="121">
          <cell r="A121" t="str">
            <v>0001325789324</v>
          </cell>
          <cell r="B121" t="str">
            <v>0001325789324</v>
          </cell>
          <cell r="C121" t="str">
            <v>ULFA</v>
          </cell>
          <cell r="D121" t="str">
            <v>50831</v>
          </cell>
          <cell r="E121" t="str">
            <v>PESERTA</v>
          </cell>
          <cell r="F121">
            <v>137507</v>
          </cell>
        </row>
        <row r="122">
          <cell r="A122" t="str">
            <v>0001328833787</v>
          </cell>
          <cell r="B122" t="str">
            <v>0001328833787</v>
          </cell>
          <cell r="C122" t="str">
            <v xml:space="preserve">EKO HERMANTO </v>
          </cell>
          <cell r="D122" t="str">
            <v>UJK</v>
          </cell>
          <cell r="E122" t="str">
            <v>PESERTA</v>
          </cell>
          <cell r="F122">
            <v>137507</v>
          </cell>
        </row>
        <row r="123">
          <cell r="A123" t="str">
            <v>0001384181864</v>
          </cell>
          <cell r="B123" t="str">
            <v>0001384181864</v>
          </cell>
          <cell r="C123" t="str">
            <v>GHOFAR ARIEF RIATMOKO</v>
          </cell>
          <cell r="D123" t="str">
            <v>ujk</v>
          </cell>
          <cell r="E123" t="str">
            <v>PESERTA</v>
          </cell>
          <cell r="F123">
            <v>151864</v>
          </cell>
        </row>
        <row r="124">
          <cell r="A124" t="str">
            <v>0001384181864</v>
          </cell>
          <cell r="B124" t="str">
            <v>0001020246884</v>
          </cell>
          <cell r="C124" t="str">
            <v>SITI FATIMAH</v>
          </cell>
          <cell r="D124" t="str">
            <v>ujk</v>
          </cell>
          <cell r="E124" t="str">
            <v>ISTRI</v>
          </cell>
          <cell r="F124">
            <v>0</v>
          </cell>
        </row>
        <row r="125">
          <cell r="A125" t="str">
            <v>0001384181864</v>
          </cell>
          <cell r="B125" t="str">
            <v>0002092839906</v>
          </cell>
          <cell r="C125" t="str">
            <v>ILYASSYAFI ARIF INZAKY</v>
          </cell>
          <cell r="E125" t="str">
            <v>ANAK</v>
          </cell>
          <cell r="F125">
            <v>0</v>
          </cell>
        </row>
        <row r="126">
          <cell r="A126" t="str">
            <v>0001384181864</v>
          </cell>
          <cell r="B126" t="str">
            <v>0003591796454</v>
          </cell>
          <cell r="C126" t="str">
            <v>AHMAD ARIF MUZAYYAN</v>
          </cell>
          <cell r="E126" t="str">
            <v>ANAK</v>
          </cell>
          <cell r="F126">
            <v>0</v>
          </cell>
        </row>
        <row r="127">
          <cell r="A127" t="str">
            <v>0001384181908</v>
          </cell>
          <cell r="B127" t="str">
            <v>0001384181908</v>
          </cell>
          <cell r="C127" t="str">
            <v>ILHAM WAHYU SYAHPUTRA</v>
          </cell>
          <cell r="D127" t="str">
            <v>50709</v>
          </cell>
          <cell r="E127" t="str">
            <v>PESERTA</v>
          </cell>
          <cell r="F127">
            <v>137507</v>
          </cell>
        </row>
        <row r="128">
          <cell r="A128" t="str">
            <v>0001384181908</v>
          </cell>
          <cell r="B128" t="str">
            <v>0000583073976</v>
          </cell>
          <cell r="C128" t="str">
            <v>NURUL SYAFA'AH</v>
          </cell>
          <cell r="D128" t="str">
            <v>50709</v>
          </cell>
          <cell r="E128" t="str">
            <v>ISTRI</v>
          </cell>
          <cell r="F128">
            <v>0</v>
          </cell>
        </row>
        <row r="129">
          <cell r="A129" t="str">
            <v>0001387542802</v>
          </cell>
          <cell r="B129" t="str">
            <v>0001387542802</v>
          </cell>
          <cell r="C129" t="str">
            <v>WAHYU DIAN CAHYONO</v>
          </cell>
          <cell r="D129" t="str">
            <v>50818</v>
          </cell>
          <cell r="E129" t="str">
            <v>PESERTA</v>
          </cell>
          <cell r="F129">
            <v>137507</v>
          </cell>
        </row>
        <row r="130">
          <cell r="A130" t="str">
            <v>0001404779736</v>
          </cell>
          <cell r="B130" t="str">
            <v>0001404779736</v>
          </cell>
          <cell r="C130" t="str">
            <v>NOVI FIDHOTUL NIKMAH</v>
          </cell>
          <cell r="D130" t="str">
            <v>ujk</v>
          </cell>
          <cell r="E130" t="str">
            <v>PESERTA</v>
          </cell>
          <cell r="F130">
            <v>137507</v>
          </cell>
        </row>
        <row r="131">
          <cell r="A131" t="str">
            <v>0001405181305</v>
          </cell>
          <cell r="B131" t="str">
            <v>0001405181305</v>
          </cell>
          <cell r="C131" t="str">
            <v>DYAH PARTINI</v>
          </cell>
          <cell r="D131" t="str">
            <v>50548</v>
          </cell>
          <cell r="E131" t="str">
            <v>PESERTA</v>
          </cell>
          <cell r="F131">
            <v>140057</v>
          </cell>
        </row>
        <row r="132">
          <cell r="A132" t="str">
            <v>0001405181305</v>
          </cell>
          <cell r="B132" t="str">
            <v>0001528049103</v>
          </cell>
          <cell r="C132" t="str">
            <v>BAYU SASONGKO</v>
          </cell>
          <cell r="D132" t="str">
            <v/>
          </cell>
          <cell r="E132" t="str">
            <v>SUAMI</v>
          </cell>
          <cell r="F132">
            <v>0</v>
          </cell>
        </row>
        <row r="133">
          <cell r="A133" t="str">
            <v>0001405181305</v>
          </cell>
          <cell r="B133" t="str">
            <v>0001405181316</v>
          </cell>
          <cell r="C133" t="str">
            <v>KEISYA OLIVIA PUTRI HERMAWAN</v>
          </cell>
          <cell r="D133" t="str">
            <v/>
          </cell>
          <cell r="E133" t="str">
            <v>ANAK</v>
          </cell>
          <cell r="F133">
            <v>0</v>
          </cell>
        </row>
        <row r="134">
          <cell r="A134" t="str">
            <v>0001405203355</v>
          </cell>
          <cell r="B134" t="str">
            <v>0001405203355</v>
          </cell>
          <cell r="C134" t="str">
            <v>RAMA AJI SAPUTRA</v>
          </cell>
          <cell r="D134" t="str">
            <v>50839</v>
          </cell>
          <cell r="E134" t="str">
            <v>PESERTA</v>
          </cell>
          <cell r="F134">
            <v>137507</v>
          </cell>
        </row>
        <row r="135">
          <cell r="A135" t="str">
            <v>0001405226632</v>
          </cell>
          <cell r="B135" t="str">
            <v>0001405226632</v>
          </cell>
          <cell r="C135" t="str">
            <v>IBNU HAKIM</v>
          </cell>
          <cell r="D135" t="str">
            <v>30328</v>
          </cell>
          <cell r="E135" t="str">
            <v>PESERTA</v>
          </cell>
          <cell r="F135">
            <v>137657</v>
          </cell>
        </row>
        <row r="136">
          <cell r="A136" t="str">
            <v>0001405226632</v>
          </cell>
          <cell r="B136" t="str">
            <v>0001405226621</v>
          </cell>
          <cell r="C136" t="str">
            <v>WIRDA HANDAYANI</v>
          </cell>
          <cell r="D136" t="str">
            <v/>
          </cell>
          <cell r="E136" t="str">
            <v>ISTRI</v>
          </cell>
          <cell r="F136">
            <v>0</v>
          </cell>
        </row>
        <row r="137">
          <cell r="A137" t="str">
            <v>0001405226632</v>
          </cell>
          <cell r="B137" t="str">
            <v>0001405226643</v>
          </cell>
          <cell r="C137" t="str">
            <v>ABQARY ABDILLAH</v>
          </cell>
          <cell r="D137" t="str">
            <v/>
          </cell>
          <cell r="E137" t="str">
            <v>ANAK</v>
          </cell>
          <cell r="F137">
            <v>0</v>
          </cell>
        </row>
        <row r="138">
          <cell r="A138" t="str">
            <v>0001408209219</v>
          </cell>
          <cell r="B138" t="str">
            <v>0001408209219</v>
          </cell>
          <cell r="C138" t="str">
            <v>FATTAH HIDAYAT ISFAHANI</v>
          </cell>
          <cell r="D138" t="str">
            <v>50816</v>
          </cell>
          <cell r="E138" t="str">
            <v>PESERTA</v>
          </cell>
          <cell r="F138">
            <v>137507</v>
          </cell>
        </row>
        <row r="139">
          <cell r="A139" t="str">
            <v>0001408226387</v>
          </cell>
          <cell r="B139" t="str">
            <v>0001408226387</v>
          </cell>
          <cell r="C139" t="str">
            <v>MUHAMAD IKHSAN SOFIWULLOH</v>
          </cell>
          <cell r="D139" t="str">
            <v>50817</v>
          </cell>
          <cell r="E139" t="str">
            <v>PESERTA</v>
          </cell>
          <cell r="F139">
            <v>137507</v>
          </cell>
        </row>
        <row r="140">
          <cell r="A140" t="str">
            <v>0001408242712</v>
          </cell>
          <cell r="B140" t="str">
            <v>0001408242712</v>
          </cell>
          <cell r="C140" t="str">
            <v>ELENA NOVI ARTANIA</v>
          </cell>
          <cell r="D140" t="str">
            <v>50669</v>
          </cell>
          <cell r="E140" t="str">
            <v>PESERTA</v>
          </cell>
          <cell r="F140">
            <v>137507</v>
          </cell>
        </row>
        <row r="141">
          <cell r="A141" t="str">
            <v>0001408242712</v>
          </cell>
          <cell r="B141" t="str">
            <v>0003556162956</v>
          </cell>
          <cell r="C141" t="str">
            <v>AAILA ZAHEERA</v>
          </cell>
          <cell r="D141" t="str">
            <v/>
          </cell>
          <cell r="E141" t="str">
            <v>ANAK</v>
          </cell>
          <cell r="F141">
            <v>0</v>
          </cell>
        </row>
        <row r="142">
          <cell r="A142" t="str">
            <v>0001408246492</v>
          </cell>
          <cell r="B142" t="str">
            <v>0001408246492</v>
          </cell>
          <cell r="C142" t="str">
            <v>DWI SUSIANTI</v>
          </cell>
          <cell r="D142" t="str">
            <v>BC</v>
          </cell>
          <cell r="E142" t="str">
            <v>PESERTA</v>
          </cell>
          <cell r="F142">
            <v>141257</v>
          </cell>
        </row>
        <row r="143">
          <cell r="A143" t="str">
            <v>0001408246492</v>
          </cell>
          <cell r="B143" t="str">
            <v>0001906190818</v>
          </cell>
          <cell r="C143" t="str">
            <v>ARAVI SILVIA PUTRI RESTU RAHMADHAN</v>
          </cell>
          <cell r="D143" t="str">
            <v/>
          </cell>
          <cell r="E143" t="str">
            <v>ANAK</v>
          </cell>
          <cell r="F143">
            <v>0</v>
          </cell>
        </row>
        <row r="144">
          <cell r="A144" t="str">
            <v>0001408254333</v>
          </cell>
          <cell r="B144" t="str">
            <v>0001408254333</v>
          </cell>
          <cell r="C144" t="str">
            <v>KHOMSATUN</v>
          </cell>
          <cell r="D144" t="str">
            <v>50688</v>
          </cell>
          <cell r="E144" t="str">
            <v>PESERTA</v>
          </cell>
          <cell r="F144">
            <v>137507</v>
          </cell>
        </row>
        <row r="145">
          <cell r="A145" t="str">
            <v>0001408254333</v>
          </cell>
          <cell r="B145" t="str">
            <v>0001408254344</v>
          </cell>
          <cell r="C145" t="str">
            <v>RUSIYAMTO</v>
          </cell>
          <cell r="D145" t="str">
            <v/>
          </cell>
          <cell r="E145" t="str">
            <v>SUAMI</v>
          </cell>
          <cell r="F145">
            <v>0</v>
          </cell>
        </row>
        <row r="146">
          <cell r="A146" t="str">
            <v>0001408254333</v>
          </cell>
          <cell r="B146" t="str">
            <v>0002922881499</v>
          </cell>
          <cell r="C146" t="str">
            <v>AHMAD MUZAKHI ABDUL KARIM</v>
          </cell>
          <cell r="D146" t="str">
            <v/>
          </cell>
          <cell r="E146" t="str">
            <v>ANAK</v>
          </cell>
          <cell r="F146">
            <v>0</v>
          </cell>
        </row>
        <row r="147">
          <cell r="A147" t="str">
            <v>0001408254333</v>
          </cell>
          <cell r="B147" t="str">
            <v>0001408254355</v>
          </cell>
          <cell r="C147" t="str">
            <v>MUFID ABDI MAULANA</v>
          </cell>
          <cell r="D147" t="str">
            <v/>
          </cell>
          <cell r="E147" t="str">
            <v>ANAK</v>
          </cell>
          <cell r="F147">
            <v>0</v>
          </cell>
        </row>
        <row r="148">
          <cell r="A148" t="str">
            <v>0001408254333</v>
          </cell>
          <cell r="B148" t="str">
            <v>0001967936051</v>
          </cell>
          <cell r="C148" t="str">
            <v>ADILIA MUFIDAH</v>
          </cell>
          <cell r="D148" t="str">
            <v/>
          </cell>
          <cell r="E148" t="str">
            <v>ANAK</v>
          </cell>
          <cell r="F148">
            <v>0</v>
          </cell>
        </row>
        <row r="149">
          <cell r="A149" t="str">
            <v>0001408278791</v>
          </cell>
          <cell r="B149" t="str">
            <v>0001408278791</v>
          </cell>
          <cell r="C149" t="str">
            <v>NOVIANTO</v>
          </cell>
          <cell r="D149" t="str">
            <v>50696</v>
          </cell>
          <cell r="E149" t="str">
            <v>PESERTA</v>
          </cell>
          <cell r="F149">
            <v>137507</v>
          </cell>
        </row>
        <row r="150">
          <cell r="A150" t="str">
            <v>0001408278791</v>
          </cell>
          <cell r="B150" t="str">
            <v>0001699484905</v>
          </cell>
          <cell r="C150" t="str">
            <v>SITI ROHATUN</v>
          </cell>
          <cell r="D150" t="str">
            <v/>
          </cell>
          <cell r="E150" t="str">
            <v>ISTRI</v>
          </cell>
          <cell r="F150">
            <v>0</v>
          </cell>
        </row>
        <row r="151">
          <cell r="A151" t="str">
            <v>0001408278791</v>
          </cell>
          <cell r="B151" t="str">
            <v>0003614540771</v>
          </cell>
          <cell r="C151" t="str">
            <v>VANIA ARSYILA SYAKIRA</v>
          </cell>
          <cell r="E151" t="str">
            <v>ANAK</v>
          </cell>
          <cell r="F151">
            <v>0</v>
          </cell>
        </row>
        <row r="152">
          <cell r="A152" t="str">
            <v>0001408291637</v>
          </cell>
          <cell r="B152" t="str">
            <v>0001408291637</v>
          </cell>
          <cell r="C152" t="str">
            <v>REKZI ZILAN PRADITYA</v>
          </cell>
          <cell r="D152" t="str">
            <v>50806</v>
          </cell>
          <cell r="E152" t="str">
            <v>PESERTA</v>
          </cell>
          <cell r="F152">
            <v>137507</v>
          </cell>
        </row>
        <row r="153">
          <cell r="A153" t="str">
            <v>0001421051534</v>
          </cell>
          <cell r="B153" t="str">
            <v>0001421051534</v>
          </cell>
          <cell r="C153" t="str">
            <v>YENI DWI SAPUTRI</v>
          </cell>
          <cell r="D153" t="str">
            <v>50689</v>
          </cell>
          <cell r="E153" t="str">
            <v>PESERTA</v>
          </cell>
          <cell r="F153">
            <v>137507</v>
          </cell>
        </row>
        <row r="154">
          <cell r="A154" t="str">
            <v>0001433065702</v>
          </cell>
          <cell r="B154" t="str">
            <v>0001433065702</v>
          </cell>
          <cell r="C154" t="str">
            <v>SUYATI</v>
          </cell>
          <cell r="D154" t="str">
            <v>50692</v>
          </cell>
          <cell r="E154" t="str">
            <v>PESERTA</v>
          </cell>
          <cell r="F154">
            <v>137507</v>
          </cell>
        </row>
        <row r="155">
          <cell r="A155" t="str">
            <v>0001442717673</v>
          </cell>
          <cell r="B155" t="str">
            <v>0001442717673</v>
          </cell>
          <cell r="C155" t="str">
            <v>SEPTA ARYA WARDANA</v>
          </cell>
          <cell r="D155" t="str">
            <v>50619</v>
          </cell>
          <cell r="E155" t="str">
            <v>PESERTA</v>
          </cell>
          <cell r="F155">
            <v>137507</v>
          </cell>
        </row>
        <row r="156">
          <cell r="A156" t="str">
            <v>0001445476937</v>
          </cell>
          <cell r="B156" t="str">
            <v>0001445476937</v>
          </cell>
          <cell r="C156" t="str">
            <v>MELIYUNIATI</v>
          </cell>
          <cell r="D156" t="str">
            <v>50728</v>
          </cell>
          <cell r="E156" t="str">
            <v>PESERTA</v>
          </cell>
          <cell r="F156">
            <v>213101</v>
          </cell>
        </row>
        <row r="157">
          <cell r="A157" t="str">
            <v>0001445476937</v>
          </cell>
          <cell r="B157" t="str">
            <v>0003054470174</v>
          </cell>
          <cell r="C157" t="str">
            <v>JOHANES</v>
          </cell>
          <cell r="D157" t="str">
            <v/>
          </cell>
          <cell r="E157" t="str">
            <v>SUAMI</v>
          </cell>
          <cell r="F157">
            <v>0</v>
          </cell>
        </row>
        <row r="158">
          <cell r="A158" t="str">
            <v>0001445476937</v>
          </cell>
          <cell r="B158" t="str">
            <v>0001445478737</v>
          </cell>
          <cell r="C158" t="str">
            <v>SHERINE LIM</v>
          </cell>
          <cell r="D158" t="str">
            <v/>
          </cell>
          <cell r="E158" t="str">
            <v>ANAK</v>
          </cell>
          <cell r="F158">
            <v>0</v>
          </cell>
        </row>
        <row r="159">
          <cell r="A159" t="str">
            <v>0001445477409</v>
          </cell>
          <cell r="B159" t="str">
            <v>0001445477409</v>
          </cell>
          <cell r="C159" t="str">
            <v>RIO ANDRE LIM</v>
          </cell>
          <cell r="D159" t="str">
            <v>50649</v>
          </cell>
          <cell r="E159" t="str">
            <v>PESERTA</v>
          </cell>
          <cell r="F159">
            <v>137507</v>
          </cell>
        </row>
        <row r="160">
          <cell r="A160" t="str">
            <v>0001501553057</v>
          </cell>
          <cell r="B160" t="str">
            <v>0001501553057</v>
          </cell>
          <cell r="C160" t="str">
            <v>KARIDA KESUMA DILATRI</v>
          </cell>
          <cell r="D160" t="str">
            <v>-</v>
          </cell>
          <cell r="E160" t="str">
            <v>PESERTA</v>
          </cell>
          <cell r="F160">
            <v>137607</v>
          </cell>
        </row>
        <row r="161">
          <cell r="A161" t="str">
            <v>0001526122359</v>
          </cell>
          <cell r="B161" t="str">
            <v>0001526122359</v>
          </cell>
          <cell r="C161" t="str">
            <v>SARIMIN</v>
          </cell>
          <cell r="D161" t="str">
            <v>sc09022015</v>
          </cell>
          <cell r="E161" t="str">
            <v>PESERTA</v>
          </cell>
          <cell r="F161">
            <v>150697</v>
          </cell>
        </row>
        <row r="162">
          <cell r="A162" t="str">
            <v>0001526122359</v>
          </cell>
          <cell r="B162" t="str">
            <v>0001526122596</v>
          </cell>
          <cell r="C162" t="str">
            <v>SURIPAH</v>
          </cell>
          <cell r="D162" t="str">
            <v/>
          </cell>
          <cell r="E162" t="str">
            <v>ISTRI</v>
          </cell>
          <cell r="F162">
            <v>0</v>
          </cell>
        </row>
        <row r="163">
          <cell r="A163" t="str">
            <v>0001526122359</v>
          </cell>
          <cell r="B163" t="str">
            <v>0002058403511</v>
          </cell>
          <cell r="C163" t="str">
            <v>AISYAH AQILA INARA</v>
          </cell>
          <cell r="E163" t="str">
            <v>ANAK</v>
          </cell>
          <cell r="F163">
            <v>0</v>
          </cell>
        </row>
        <row r="164">
          <cell r="A164" t="str">
            <v>0001526122361</v>
          </cell>
          <cell r="B164" t="str">
            <v>0001526122361</v>
          </cell>
          <cell r="C164" t="str">
            <v>HANDIKA DENI SINTARA</v>
          </cell>
          <cell r="D164" t="str">
            <v>sc09022015</v>
          </cell>
          <cell r="E164" t="str">
            <v>PESERTA</v>
          </cell>
          <cell r="F164">
            <v>149364</v>
          </cell>
        </row>
        <row r="165">
          <cell r="A165" t="str">
            <v>0001526122361</v>
          </cell>
          <cell r="B165" t="str">
            <v>0002886881185</v>
          </cell>
          <cell r="C165" t="str">
            <v>ALHAN ZEIN SINTARA</v>
          </cell>
          <cell r="D165" t="str">
            <v>sc09022015</v>
          </cell>
          <cell r="E165" t="str">
            <v>ANAK</v>
          </cell>
          <cell r="F165">
            <v>0</v>
          </cell>
        </row>
        <row r="166">
          <cell r="A166" t="str">
            <v>0001526122361</v>
          </cell>
          <cell r="B166" t="str">
            <v>0002236183255</v>
          </cell>
          <cell r="C166" t="str">
            <v>ALIF ANNASTIAR PRATAMA</v>
          </cell>
          <cell r="D166" t="str">
            <v>sc09022015</v>
          </cell>
          <cell r="E166" t="str">
            <v>ANAK</v>
          </cell>
          <cell r="F166">
            <v>0</v>
          </cell>
        </row>
        <row r="167">
          <cell r="A167" t="str">
            <v>0001526122372</v>
          </cell>
          <cell r="B167" t="str">
            <v>0001526122372</v>
          </cell>
          <cell r="C167" t="str">
            <v>AGUS KRISTANTO</v>
          </cell>
          <cell r="D167" t="str">
            <v>sc09022015</v>
          </cell>
          <cell r="E167" t="str">
            <v>PESERTA</v>
          </cell>
          <cell r="F167">
            <v>150697</v>
          </cell>
        </row>
        <row r="168">
          <cell r="A168" t="str">
            <v>0001526122372</v>
          </cell>
          <cell r="B168" t="str">
            <v>0001526122405</v>
          </cell>
          <cell r="C168" t="str">
            <v>KHRISTINAWA BADRA KIRANI</v>
          </cell>
          <cell r="D168" t="str">
            <v/>
          </cell>
          <cell r="E168" t="str">
            <v>ANAK</v>
          </cell>
          <cell r="F168">
            <v>0</v>
          </cell>
        </row>
        <row r="169">
          <cell r="A169" t="str">
            <v>0001526122372</v>
          </cell>
          <cell r="B169" t="str">
            <v>0001526122394</v>
          </cell>
          <cell r="C169" t="str">
            <v>KHRISNA BAGUS PERMADI</v>
          </cell>
          <cell r="D169" t="str">
            <v/>
          </cell>
          <cell r="E169" t="str">
            <v>ANAK</v>
          </cell>
          <cell r="F169">
            <v>0</v>
          </cell>
        </row>
        <row r="170">
          <cell r="A170" t="str">
            <v>0001526122416</v>
          </cell>
          <cell r="B170" t="str">
            <v>0001526122416</v>
          </cell>
          <cell r="C170" t="str">
            <v>HERMANTO</v>
          </cell>
          <cell r="D170" t="str">
            <v>-</v>
          </cell>
          <cell r="E170" t="str">
            <v>PESERTA</v>
          </cell>
          <cell r="F170">
            <v>218655</v>
          </cell>
        </row>
        <row r="171">
          <cell r="A171" t="str">
            <v>0001526122416</v>
          </cell>
          <cell r="B171" t="str">
            <v>0001526122438</v>
          </cell>
          <cell r="C171" t="str">
            <v>KEYSA AZZAHWA</v>
          </cell>
          <cell r="D171" t="str">
            <v/>
          </cell>
          <cell r="E171" t="str">
            <v>ANAK</v>
          </cell>
          <cell r="F171">
            <v>0</v>
          </cell>
        </row>
        <row r="172">
          <cell r="A172" t="str">
            <v>0001526122416</v>
          </cell>
          <cell r="B172" t="str">
            <v>0001526122449</v>
          </cell>
          <cell r="C172" t="str">
            <v>EZA FEBRIAN ABIMANYU</v>
          </cell>
          <cell r="D172" t="str">
            <v/>
          </cell>
          <cell r="E172" t="str">
            <v>ANAK</v>
          </cell>
          <cell r="F172">
            <v>0</v>
          </cell>
        </row>
        <row r="173">
          <cell r="A173" t="str">
            <v>0001526122427</v>
          </cell>
          <cell r="B173" t="str">
            <v>0001526122427</v>
          </cell>
          <cell r="C173" t="str">
            <v>NINA</v>
          </cell>
          <cell r="D173" t="str">
            <v>-</v>
          </cell>
          <cell r="E173" t="str">
            <v>PESERTA</v>
          </cell>
          <cell r="F173">
            <v>137757</v>
          </cell>
        </row>
        <row r="174">
          <cell r="A174" t="str">
            <v>0001526122427</v>
          </cell>
          <cell r="B174" t="str">
            <v>0003530137847</v>
          </cell>
          <cell r="C174" t="str">
            <v>MUHAMMAD ATTAQI ALFAREZZI</v>
          </cell>
          <cell r="E174" t="str">
            <v>ANAK</v>
          </cell>
          <cell r="F174">
            <v>0</v>
          </cell>
        </row>
        <row r="175">
          <cell r="A175" t="str">
            <v>0001526122451</v>
          </cell>
          <cell r="B175" t="str">
            <v>0001526122451</v>
          </cell>
          <cell r="C175" t="str">
            <v>ALBERTUS AGUNG PRAYITNO</v>
          </cell>
          <cell r="D175" t="str">
            <v>60205</v>
          </cell>
          <cell r="E175" t="str">
            <v>PESERTA</v>
          </cell>
          <cell r="F175">
            <v>218655</v>
          </cell>
        </row>
        <row r="176">
          <cell r="A176" t="str">
            <v>0001526122451</v>
          </cell>
          <cell r="B176" t="str">
            <v>0001845392949</v>
          </cell>
          <cell r="C176" t="str">
            <v>SRI NINGSIH</v>
          </cell>
          <cell r="D176" t="str">
            <v/>
          </cell>
          <cell r="E176" t="str">
            <v>ISTRI</v>
          </cell>
          <cell r="F176">
            <v>0</v>
          </cell>
        </row>
        <row r="177">
          <cell r="A177" t="str">
            <v>0001526122451</v>
          </cell>
          <cell r="B177" t="str">
            <v>0003078567178</v>
          </cell>
          <cell r="C177" t="str">
            <v>AGITA HANIS QALESYA</v>
          </cell>
          <cell r="D177" t="str">
            <v/>
          </cell>
          <cell r="E177" t="str">
            <v>ANAK</v>
          </cell>
          <cell r="F177">
            <v>0</v>
          </cell>
        </row>
        <row r="178">
          <cell r="A178" t="str">
            <v>0001526122451</v>
          </cell>
          <cell r="B178" t="str">
            <v>0003095957125</v>
          </cell>
          <cell r="C178" t="str">
            <v>ZEA LEANDRA</v>
          </cell>
          <cell r="D178" t="str">
            <v/>
          </cell>
          <cell r="E178" t="str">
            <v>ANAK</v>
          </cell>
          <cell r="F178">
            <v>0</v>
          </cell>
        </row>
        <row r="179">
          <cell r="A179" t="str">
            <v>0001526122607</v>
          </cell>
          <cell r="B179" t="str">
            <v>0001526122607</v>
          </cell>
          <cell r="C179" t="str">
            <v>JAIS</v>
          </cell>
          <cell r="D179" t="str">
            <v>sc09022015</v>
          </cell>
          <cell r="E179" t="str">
            <v>PESERTA</v>
          </cell>
          <cell r="F179">
            <v>137757</v>
          </cell>
        </row>
        <row r="180">
          <cell r="A180" t="str">
            <v>0001526122607</v>
          </cell>
          <cell r="B180" t="str">
            <v>0001526122629</v>
          </cell>
          <cell r="C180" t="str">
            <v>NAILA NUR FAIZA</v>
          </cell>
          <cell r="D180" t="str">
            <v/>
          </cell>
          <cell r="E180" t="str">
            <v>ANAK</v>
          </cell>
          <cell r="F180">
            <v>0</v>
          </cell>
        </row>
        <row r="181">
          <cell r="A181" t="str">
            <v>0001526122708</v>
          </cell>
          <cell r="B181" t="str">
            <v>0001526122708</v>
          </cell>
          <cell r="C181" t="str">
            <v>SUGIRI</v>
          </cell>
          <cell r="D181" t="str">
            <v>sc09022015</v>
          </cell>
          <cell r="E181" t="str">
            <v>PESERTA</v>
          </cell>
          <cell r="F181">
            <v>150697</v>
          </cell>
        </row>
        <row r="182">
          <cell r="A182" t="str">
            <v>0001526122708</v>
          </cell>
          <cell r="B182" t="str">
            <v>0001526122811</v>
          </cell>
          <cell r="C182" t="str">
            <v>WINARSIH</v>
          </cell>
          <cell r="D182" t="str">
            <v/>
          </cell>
          <cell r="E182" t="str">
            <v>ISTRI</v>
          </cell>
          <cell r="F182">
            <v>0</v>
          </cell>
        </row>
        <row r="183">
          <cell r="A183" t="str">
            <v>0001526122708</v>
          </cell>
          <cell r="B183" t="str">
            <v>0001526122923</v>
          </cell>
          <cell r="C183" t="str">
            <v>TATA LESTARI</v>
          </cell>
          <cell r="D183" t="str">
            <v/>
          </cell>
          <cell r="E183" t="str">
            <v>ANAK</v>
          </cell>
          <cell r="F183">
            <v>0</v>
          </cell>
        </row>
        <row r="184">
          <cell r="A184" t="str">
            <v>0001526122719</v>
          </cell>
          <cell r="B184" t="str">
            <v>0001526122719</v>
          </cell>
          <cell r="C184" t="str">
            <v>SURYADI</v>
          </cell>
          <cell r="D184" t="str">
            <v>50615</v>
          </cell>
          <cell r="E184" t="str">
            <v>PESERTA</v>
          </cell>
          <cell r="F184">
            <v>137557</v>
          </cell>
        </row>
        <row r="185">
          <cell r="A185" t="str">
            <v>0001526122833</v>
          </cell>
          <cell r="B185" t="str">
            <v>0001526122833</v>
          </cell>
          <cell r="C185" t="str">
            <v>LUTFI KHAMIDATUL KHOIRIYAH</v>
          </cell>
          <cell r="D185" t="str">
            <v>50659</v>
          </cell>
          <cell r="E185" t="str">
            <v>PESERTA</v>
          </cell>
          <cell r="F185">
            <v>137507</v>
          </cell>
        </row>
        <row r="186">
          <cell r="A186" t="str">
            <v>0001526123103</v>
          </cell>
          <cell r="B186" t="str">
            <v>0001526123103</v>
          </cell>
          <cell r="C186" t="str">
            <v>RINA ANJASARI</v>
          </cell>
          <cell r="D186" t="str">
            <v>50695</v>
          </cell>
          <cell r="E186" t="str">
            <v>PESERTA</v>
          </cell>
          <cell r="F186">
            <v>137507</v>
          </cell>
        </row>
        <row r="187">
          <cell r="A187" t="str">
            <v>0001526123103</v>
          </cell>
          <cell r="B187" t="str">
            <v>0001526123114</v>
          </cell>
          <cell r="C187" t="str">
            <v>ALI SHODIQIN</v>
          </cell>
          <cell r="D187" t="str">
            <v>50695</v>
          </cell>
          <cell r="E187" t="str">
            <v>SUAMI</v>
          </cell>
          <cell r="F187">
            <v>0</v>
          </cell>
        </row>
        <row r="188">
          <cell r="A188" t="str">
            <v>0001526123204</v>
          </cell>
          <cell r="B188" t="str">
            <v>0001526123204</v>
          </cell>
          <cell r="C188" t="str">
            <v>AHMAD ROKHIMIN</v>
          </cell>
          <cell r="D188" t="str">
            <v>sc09022015</v>
          </cell>
          <cell r="E188" t="str">
            <v>PESERTA</v>
          </cell>
          <cell r="F188">
            <v>150697</v>
          </cell>
        </row>
        <row r="189">
          <cell r="A189" t="str">
            <v>0001526123204</v>
          </cell>
          <cell r="B189" t="str">
            <v>0001526123215</v>
          </cell>
          <cell r="C189" t="str">
            <v>JUMIYATI</v>
          </cell>
          <cell r="D189" t="str">
            <v/>
          </cell>
          <cell r="E189" t="str">
            <v>ISTRI</v>
          </cell>
          <cell r="F189">
            <v>0</v>
          </cell>
        </row>
        <row r="190">
          <cell r="A190" t="str">
            <v>0001526123204</v>
          </cell>
          <cell r="B190" t="str">
            <v>0002931776831</v>
          </cell>
          <cell r="C190" t="str">
            <v>MAUZA ATALLA ADELIO AL FATIH</v>
          </cell>
          <cell r="D190" t="str">
            <v>sc09022015</v>
          </cell>
          <cell r="E190" t="str">
            <v>ANAK</v>
          </cell>
          <cell r="F190">
            <v>0</v>
          </cell>
        </row>
        <row r="191">
          <cell r="A191" t="str">
            <v>0001526123226</v>
          </cell>
          <cell r="B191" t="str">
            <v>0001526123226</v>
          </cell>
          <cell r="C191" t="str">
            <v>HAFIS JOVAN AFANDA</v>
          </cell>
          <cell r="D191" t="str">
            <v>UJK</v>
          </cell>
          <cell r="E191" t="str">
            <v>PESERTA</v>
          </cell>
          <cell r="F191">
            <v>137507</v>
          </cell>
        </row>
        <row r="192">
          <cell r="A192" t="str">
            <v>0001526123237</v>
          </cell>
          <cell r="B192" t="str">
            <v>0001526123237</v>
          </cell>
          <cell r="C192" t="str">
            <v>MARDLIYAH</v>
          </cell>
          <cell r="D192" t="str">
            <v>50733</v>
          </cell>
          <cell r="E192" t="str">
            <v>PESERTA</v>
          </cell>
          <cell r="F192">
            <v>137507</v>
          </cell>
        </row>
        <row r="193">
          <cell r="A193" t="str">
            <v>0001526123237</v>
          </cell>
          <cell r="B193" t="str">
            <v>0001526123248</v>
          </cell>
          <cell r="C193" t="str">
            <v>SAMUDI</v>
          </cell>
          <cell r="D193" t="str">
            <v/>
          </cell>
          <cell r="E193" t="str">
            <v>SUAMI</v>
          </cell>
          <cell r="F193">
            <v>0</v>
          </cell>
        </row>
        <row r="194">
          <cell r="A194" t="str">
            <v>0001526123237</v>
          </cell>
          <cell r="B194" t="str">
            <v>0001526123261</v>
          </cell>
          <cell r="C194" t="str">
            <v>RIYO SAHRUL FAIZ</v>
          </cell>
          <cell r="D194" t="str">
            <v>50733</v>
          </cell>
          <cell r="E194" t="str">
            <v>ANAK</v>
          </cell>
          <cell r="F194">
            <v>0</v>
          </cell>
        </row>
        <row r="195">
          <cell r="A195" t="str">
            <v>0001526123237</v>
          </cell>
          <cell r="B195" t="str">
            <v>0003596910502</v>
          </cell>
          <cell r="C195" t="str">
            <v>CHOIRIL RAFKI ALFAREL</v>
          </cell>
          <cell r="D195" t="str">
            <v/>
          </cell>
          <cell r="E195" t="str">
            <v>ANAK</v>
          </cell>
          <cell r="F195">
            <v>0</v>
          </cell>
        </row>
        <row r="196">
          <cell r="A196" t="str">
            <v>0001526123237</v>
          </cell>
          <cell r="B196" t="str">
            <v>0002304101812</v>
          </cell>
          <cell r="C196" t="str">
            <v>AFFAN GIYATSA NUR FALAH</v>
          </cell>
          <cell r="D196" t="str">
            <v>50733</v>
          </cell>
          <cell r="E196" t="str">
            <v>ANAK</v>
          </cell>
          <cell r="F196">
            <v>0</v>
          </cell>
        </row>
        <row r="197">
          <cell r="A197" t="str">
            <v>0001526123272</v>
          </cell>
          <cell r="B197" t="str">
            <v>0001526123272</v>
          </cell>
          <cell r="C197" t="str">
            <v>SEPTI ENY</v>
          </cell>
          <cell r="D197" t="str">
            <v>50638</v>
          </cell>
          <cell r="E197" t="str">
            <v>PESERTA</v>
          </cell>
          <cell r="F197">
            <v>137507</v>
          </cell>
        </row>
        <row r="198">
          <cell r="A198" t="str">
            <v>0001526123272</v>
          </cell>
          <cell r="B198" t="str">
            <v>0001526123283</v>
          </cell>
          <cell r="C198" t="str">
            <v>MARZUKI</v>
          </cell>
          <cell r="D198" t="str">
            <v/>
          </cell>
          <cell r="E198" t="str">
            <v>SUAMI</v>
          </cell>
          <cell r="F198">
            <v>0</v>
          </cell>
        </row>
        <row r="199">
          <cell r="A199" t="str">
            <v>0001526123272</v>
          </cell>
          <cell r="B199" t="str">
            <v>0001526123294</v>
          </cell>
          <cell r="C199" t="str">
            <v>DICKI DWI PRESTIAN</v>
          </cell>
          <cell r="D199" t="str">
            <v/>
          </cell>
          <cell r="E199" t="str">
            <v>ANAK</v>
          </cell>
          <cell r="F199">
            <v>0</v>
          </cell>
        </row>
        <row r="200">
          <cell r="A200" t="str">
            <v>0001526123316</v>
          </cell>
          <cell r="B200" t="str">
            <v>0001526123316</v>
          </cell>
          <cell r="C200" t="str">
            <v>SON HAJI</v>
          </cell>
          <cell r="D200" t="str">
            <v>sc09022015</v>
          </cell>
          <cell r="E200" t="str">
            <v>PESERTA</v>
          </cell>
          <cell r="F200">
            <v>137657</v>
          </cell>
        </row>
        <row r="201">
          <cell r="A201" t="str">
            <v>0001526123316</v>
          </cell>
          <cell r="B201" t="str">
            <v>0001825728682</v>
          </cell>
          <cell r="C201" t="str">
            <v>SITI ROHMIATUN</v>
          </cell>
          <cell r="E201" t="str">
            <v>ISTRI</v>
          </cell>
          <cell r="F201">
            <v>0</v>
          </cell>
        </row>
        <row r="202">
          <cell r="A202" t="str">
            <v>0001526123316</v>
          </cell>
          <cell r="B202" t="str">
            <v>0002611505621</v>
          </cell>
          <cell r="C202" t="str">
            <v>ARJUNA CANDRA WIJAYA</v>
          </cell>
          <cell r="D202" t="str">
            <v>sc09022015</v>
          </cell>
          <cell r="E202" t="str">
            <v>ANAK</v>
          </cell>
          <cell r="F202">
            <v>0</v>
          </cell>
        </row>
        <row r="203">
          <cell r="A203" t="str">
            <v>0001526123316</v>
          </cell>
          <cell r="B203" t="str">
            <v>0001825729209</v>
          </cell>
          <cell r="C203" t="str">
            <v>NAVIS ARVALINA ISNAWARDANI</v>
          </cell>
          <cell r="E203" t="str">
            <v>ANAK</v>
          </cell>
          <cell r="F203">
            <v>0</v>
          </cell>
        </row>
        <row r="204">
          <cell r="A204" t="str">
            <v>0001526123316</v>
          </cell>
          <cell r="B204" t="str">
            <v>0003119353413</v>
          </cell>
          <cell r="C204" t="str">
            <v>DYLAN FAEZA GHAZZAL</v>
          </cell>
          <cell r="D204" t="str">
            <v>sc09022015</v>
          </cell>
          <cell r="E204" t="str">
            <v>ANAK</v>
          </cell>
          <cell r="F204">
            <v>0</v>
          </cell>
        </row>
        <row r="205">
          <cell r="A205" t="str">
            <v>0001526123327</v>
          </cell>
          <cell r="B205" t="str">
            <v>0001526123327</v>
          </cell>
          <cell r="C205" t="str">
            <v>RIFANI</v>
          </cell>
          <cell r="D205" t="str">
            <v>50729</v>
          </cell>
          <cell r="E205" t="str">
            <v>PESERTA</v>
          </cell>
          <cell r="F205">
            <v>137507</v>
          </cell>
        </row>
        <row r="206">
          <cell r="A206" t="str">
            <v>0001526123327</v>
          </cell>
          <cell r="B206" t="str">
            <v>0001526123338</v>
          </cell>
          <cell r="C206" t="str">
            <v>FIKI ARKHANUR RIZA</v>
          </cell>
          <cell r="D206" t="str">
            <v/>
          </cell>
          <cell r="E206" t="str">
            <v>SUAMI</v>
          </cell>
          <cell r="F206">
            <v>0</v>
          </cell>
        </row>
        <row r="207">
          <cell r="A207" t="str">
            <v>0001526123327</v>
          </cell>
          <cell r="B207" t="str">
            <v>0001526123349</v>
          </cell>
          <cell r="C207" t="str">
            <v>ASSA SYIFAUL KHUSNA</v>
          </cell>
          <cell r="D207" t="str">
            <v/>
          </cell>
          <cell r="E207" t="str">
            <v>ANAK</v>
          </cell>
          <cell r="F207">
            <v>0</v>
          </cell>
        </row>
        <row r="208">
          <cell r="A208" t="str">
            <v>0001526123406</v>
          </cell>
          <cell r="B208" t="str">
            <v>0001526123406</v>
          </cell>
          <cell r="C208" t="str">
            <v>AZIZ SISWANTO</v>
          </cell>
          <cell r="D208" t="str">
            <v>sc09022015</v>
          </cell>
          <cell r="E208" t="str">
            <v>PESERTA</v>
          </cell>
          <cell r="F208">
            <v>140257</v>
          </cell>
        </row>
        <row r="209">
          <cell r="A209" t="str">
            <v>0001526123406</v>
          </cell>
          <cell r="B209" t="str">
            <v>0002931776987</v>
          </cell>
          <cell r="C209" t="str">
            <v>RANDIKHA FADIL EL SHARAAWY</v>
          </cell>
          <cell r="D209" t="str">
            <v>sc09022015</v>
          </cell>
          <cell r="E209" t="str">
            <v>ANAK</v>
          </cell>
          <cell r="F209">
            <v>0</v>
          </cell>
        </row>
        <row r="210">
          <cell r="A210" t="str">
            <v>0001526123417</v>
          </cell>
          <cell r="B210" t="str">
            <v>0001526123417</v>
          </cell>
          <cell r="C210" t="str">
            <v>ERAWAN PRAYUDA</v>
          </cell>
          <cell r="D210" t="str">
            <v>bc94</v>
          </cell>
          <cell r="E210" t="str">
            <v>PESERTA</v>
          </cell>
          <cell r="F210">
            <v>146864</v>
          </cell>
        </row>
        <row r="211">
          <cell r="A211" t="str">
            <v>0001526123417</v>
          </cell>
          <cell r="B211" t="str">
            <v>0002751380313</v>
          </cell>
          <cell r="C211" t="str">
            <v>HILYA AZIZA PRAYUDA</v>
          </cell>
          <cell r="D211" t="str">
            <v>bc94</v>
          </cell>
          <cell r="E211" t="str">
            <v>ANAK</v>
          </cell>
          <cell r="F211">
            <v>0</v>
          </cell>
        </row>
        <row r="212">
          <cell r="A212" t="str">
            <v>0001526123417</v>
          </cell>
          <cell r="B212" t="str">
            <v>0003109581279</v>
          </cell>
          <cell r="C212" t="str">
            <v>SARAH AULIA PRAYUDA</v>
          </cell>
          <cell r="D212" t="str">
            <v>bc94</v>
          </cell>
          <cell r="E212" t="str">
            <v>ANAK</v>
          </cell>
          <cell r="F212">
            <v>0</v>
          </cell>
        </row>
        <row r="213">
          <cell r="A213" t="str">
            <v>0001526123417</v>
          </cell>
          <cell r="B213" t="str">
            <v>0001867049651</v>
          </cell>
          <cell r="C213" t="str">
            <v>MYISHA ESTIANA PRAYUDA</v>
          </cell>
          <cell r="E213" t="str">
            <v>ANAK</v>
          </cell>
          <cell r="F213">
            <v>0</v>
          </cell>
        </row>
        <row r="214">
          <cell r="A214" t="str">
            <v>0001526123428</v>
          </cell>
          <cell r="B214" t="str">
            <v>0001526123428</v>
          </cell>
          <cell r="C214" t="str">
            <v>EDI SUPARMAN</v>
          </cell>
          <cell r="D214" t="str">
            <v>sc09022015</v>
          </cell>
          <cell r="E214" t="str">
            <v>PESERTA</v>
          </cell>
          <cell r="F214">
            <v>137757</v>
          </cell>
        </row>
        <row r="215">
          <cell r="A215" t="str">
            <v>0001526123428</v>
          </cell>
          <cell r="B215" t="str">
            <v>0001526123439</v>
          </cell>
          <cell r="C215" t="str">
            <v>DWI UMBARNINGSIH</v>
          </cell>
          <cell r="D215" t="str">
            <v/>
          </cell>
          <cell r="E215" t="str">
            <v>ISTRI</v>
          </cell>
          <cell r="F215">
            <v>0</v>
          </cell>
        </row>
        <row r="216">
          <cell r="A216" t="str">
            <v>0001526123428</v>
          </cell>
          <cell r="B216" t="str">
            <v>0001526123441</v>
          </cell>
          <cell r="C216" t="str">
            <v>AZZAHRA TSALATSANI</v>
          </cell>
          <cell r="D216" t="str">
            <v/>
          </cell>
          <cell r="E216" t="str">
            <v>ANAK</v>
          </cell>
          <cell r="F216">
            <v>0</v>
          </cell>
        </row>
        <row r="217">
          <cell r="A217" t="str">
            <v>0001526274279</v>
          </cell>
          <cell r="B217" t="str">
            <v>0001526274279</v>
          </cell>
          <cell r="C217" t="str">
            <v>KAVINDRA BAGUS DAMARJATI</v>
          </cell>
          <cell r="D217" t="str">
            <v>50782</v>
          </cell>
          <cell r="E217" t="str">
            <v>PESERTA</v>
          </cell>
          <cell r="F217">
            <v>137507</v>
          </cell>
        </row>
        <row r="218">
          <cell r="A218" t="str">
            <v>0001526366057</v>
          </cell>
          <cell r="B218" t="str">
            <v>0001526366057</v>
          </cell>
          <cell r="C218" t="str">
            <v>MUHAMMAD NURHARTANTO</v>
          </cell>
          <cell r="D218" t="str">
            <v>-</v>
          </cell>
          <cell r="E218" t="str">
            <v>PESERTA</v>
          </cell>
          <cell r="F218">
            <v>137507</v>
          </cell>
        </row>
        <row r="219">
          <cell r="A219" t="str">
            <v>0001526366057</v>
          </cell>
          <cell r="B219" t="str">
            <v>0002741583339</v>
          </cell>
          <cell r="C219" t="str">
            <v>DAVID AIRLANGGA ZULKARNAEN</v>
          </cell>
          <cell r="D219" t="str">
            <v/>
          </cell>
          <cell r="E219" t="str">
            <v>ANAK</v>
          </cell>
          <cell r="F219">
            <v>0</v>
          </cell>
        </row>
        <row r="220">
          <cell r="A220" t="str">
            <v>0001526501439</v>
          </cell>
          <cell r="B220" t="str">
            <v>0001526501439</v>
          </cell>
          <cell r="C220" t="str">
            <v>LAILA NUR ISNAINI</v>
          </cell>
          <cell r="D220" t="str">
            <v>50629</v>
          </cell>
          <cell r="E220" t="str">
            <v>PESERTA</v>
          </cell>
          <cell r="F220">
            <v>137507</v>
          </cell>
        </row>
        <row r="221">
          <cell r="A221" t="str">
            <v>0001527553539</v>
          </cell>
          <cell r="B221" t="str">
            <v>0001527553539</v>
          </cell>
          <cell r="C221" t="str">
            <v>SUPRIHATIN</v>
          </cell>
          <cell r="D221" t="str">
            <v>50843</v>
          </cell>
          <cell r="E221" t="str">
            <v>PESERTA</v>
          </cell>
          <cell r="F221">
            <v>137507</v>
          </cell>
        </row>
        <row r="222">
          <cell r="A222" t="str">
            <v>0001527635316</v>
          </cell>
          <cell r="B222" t="str">
            <v>0001527635316</v>
          </cell>
          <cell r="C222" t="str">
            <v>BRIAN GIOVAN</v>
          </cell>
          <cell r="D222" t="str">
            <v>50702</v>
          </cell>
          <cell r="E222" t="str">
            <v>PESERTA</v>
          </cell>
          <cell r="F222">
            <v>137507</v>
          </cell>
        </row>
        <row r="223">
          <cell r="A223" t="str">
            <v>0001528045312</v>
          </cell>
          <cell r="B223" t="str">
            <v>0001528045312</v>
          </cell>
          <cell r="C223" t="str">
            <v>DARYANTO</v>
          </cell>
          <cell r="D223" t="str">
            <v>sc10032015</v>
          </cell>
          <cell r="E223" t="str">
            <v>PESERTA</v>
          </cell>
          <cell r="F223">
            <v>141257</v>
          </cell>
        </row>
        <row r="224">
          <cell r="A224" t="str">
            <v>0001528045312</v>
          </cell>
          <cell r="B224" t="str">
            <v>0001528045402</v>
          </cell>
          <cell r="C224" t="str">
            <v>DEWI TRIYANI</v>
          </cell>
          <cell r="D224" t="str">
            <v/>
          </cell>
          <cell r="E224" t="str">
            <v>ISTRI</v>
          </cell>
          <cell r="F224">
            <v>0</v>
          </cell>
        </row>
        <row r="225">
          <cell r="A225" t="str">
            <v>0001528045312</v>
          </cell>
          <cell r="B225" t="str">
            <v>0001528045481</v>
          </cell>
          <cell r="C225" t="str">
            <v>NUR AISYAH RAMADHANI</v>
          </cell>
          <cell r="D225" t="str">
            <v/>
          </cell>
          <cell r="E225" t="str">
            <v>ANAK</v>
          </cell>
          <cell r="F225">
            <v>0</v>
          </cell>
        </row>
        <row r="226">
          <cell r="A226" t="str">
            <v>0001528045312</v>
          </cell>
          <cell r="B226" t="str">
            <v>0002699157251</v>
          </cell>
          <cell r="C226" t="str">
            <v>IRSYAD ALI RAMADHAN</v>
          </cell>
          <cell r="D226" t="str">
            <v/>
          </cell>
          <cell r="E226" t="str">
            <v>ANAK</v>
          </cell>
          <cell r="F226">
            <v>0</v>
          </cell>
        </row>
        <row r="227">
          <cell r="A227" t="str">
            <v>0001528045367</v>
          </cell>
          <cell r="B227" t="str">
            <v>0001528045367</v>
          </cell>
          <cell r="C227" t="str">
            <v>FATKUR ROHMAN</v>
          </cell>
          <cell r="D227" t="str">
            <v>sc10032015</v>
          </cell>
          <cell r="E227" t="str">
            <v>PESERTA</v>
          </cell>
          <cell r="F227">
            <v>149364</v>
          </cell>
        </row>
        <row r="228">
          <cell r="A228" t="str">
            <v>0001528045378</v>
          </cell>
          <cell r="B228" t="str">
            <v>0001528045378</v>
          </cell>
          <cell r="C228" t="str">
            <v>ANDI SETIAWAN</v>
          </cell>
          <cell r="D228" t="str">
            <v>3083</v>
          </cell>
          <cell r="E228" t="str">
            <v>PESERTA</v>
          </cell>
          <cell r="F228">
            <v>146864</v>
          </cell>
        </row>
        <row r="229">
          <cell r="A229" t="str">
            <v>0001528045378</v>
          </cell>
          <cell r="B229" t="str">
            <v>0001528045389</v>
          </cell>
          <cell r="C229" t="str">
            <v>ERMA FITRIANA FAUZIAH</v>
          </cell>
          <cell r="D229" t="str">
            <v/>
          </cell>
          <cell r="E229" t="str">
            <v>ISTRI</v>
          </cell>
          <cell r="F229">
            <v>0</v>
          </cell>
        </row>
        <row r="230">
          <cell r="A230" t="str">
            <v>0001528045378</v>
          </cell>
          <cell r="B230" t="str">
            <v>0002931776199</v>
          </cell>
          <cell r="C230" t="str">
            <v>MAULIDIA ILLA NIDA</v>
          </cell>
          <cell r="D230" t="str">
            <v/>
          </cell>
          <cell r="E230" t="str">
            <v>ANAK</v>
          </cell>
          <cell r="F230">
            <v>0</v>
          </cell>
        </row>
        <row r="231">
          <cell r="A231" t="str">
            <v>0001528045378</v>
          </cell>
          <cell r="B231" t="str">
            <v>0001528045391</v>
          </cell>
          <cell r="C231" t="str">
            <v>HUSEIN AL IDRUS</v>
          </cell>
          <cell r="D231" t="str">
            <v/>
          </cell>
          <cell r="E231" t="str">
            <v>ANAK</v>
          </cell>
          <cell r="F231">
            <v>0</v>
          </cell>
        </row>
        <row r="232">
          <cell r="A232" t="str">
            <v>0001528045413</v>
          </cell>
          <cell r="B232" t="str">
            <v>0001528045413</v>
          </cell>
          <cell r="C232" t="str">
            <v>SUYONO</v>
          </cell>
          <cell r="D232" t="str">
            <v>bc151</v>
          </cell>
          <cell r="E232" t="str">
            <v>PESERTA</v>
          </cell>
          <cell r="F232">
            <v>137757</v>
          </cell>
        </row>
        <row r="233">
          <cell r="A233" t="str">
            <v>0001528045413</v>
          </cell>
          <cell r="B233" t="str">
            <v>0002461910916</v>
          </cell>
          <cell r="C233" t="str">
            <v>KHAFIFAH</v>
          </cell>
          <cell r="D233" t="str">
            <v>bc151</v>
          </cell>
          <cell r="E233" t="str">
            <v>ISTRI</v>
          </cell>
          <cell r="F233">
            <v>0</v>
          </cell>
        </row>
        <row r="234">
          <cell r="A234" t="str">
            <v>0001528045413</v>
          </cell>
          <cell r="B234" t="str">
            <v>0002461911445</v>
          </cell>
          <cell r="C234" t="str">
            <v>AHMAD SIDIK</v>
          </cell>
          <cell r="D234" t="str">
            <v>bc151</v>
          </cell>
          <cell r="E234" t="str">
            <v>ANAK</v>
          </cell>
          <cell r="F234">
            <v>0</v>
          </cell>
        </row>
        <row r="235">
          <cell r="A235" t="str">
            <v>0001528045413</v>
          </cell>
          <cell r="B235" t="str">
            <v>0003526323636</v>
          </cell>
          <cell r="C235" t="str">
            <v>ZEA AYUNDA</v>
          </cell>
          <cell r="E235" t="str">
            <v>ANAK</v>
          </cell>
          <cell r="F235">
            <v>0</v>
          </cell>
        </row>
        <row r="236">
          <cell r="A236" t="str">
            <v>0001528045446</v>
          </cell>
          <cell r="B236" t="str">
            <v>0001528045446</v>
          </cell>
          <cell r="C236" t="str">
            <v>NURYAMTI</v>
          </cell>
          <cell r="D236" t="str">
            <v>50621</v>
          </cell>
          <cell r="E236" t="str">
            <v>PESERTA</v>
          </cell>
          <cell r="F236">
            <v>137507</v>
          </cell>
        </row>
        <row r="237">
          <cell r="A237" t="str">
            <v>0001528045446</v>
          </cell>
          <cell r="B237" t="str">
            <v>0001528045457</v>
          </cell>
          <cell r="C237" t="str">
            <v>SAKIMAN</v>
          </cell>
          <cell r="D237" t="str">
            <v/>
          </cell>
          <cell r="E237" t="str">
            <v>SUAMI</v>
          </cell>
          <cell r="F237">
            <v>0</v>
          </cell>
        </row>
        <row r="238">
          <cell r="A238" t="str">
            <v>0001528045492</v>
          </cell>
          <cell r="B238" t="str">
            <v>0001528045492</v>
          </cell>
          <cell r="C238" t="str">
            <v>SLAMET KUSWENDI</v>
          </cell>
          <cell r="D238" t="str">
            <v>sc10032015</v>
          </cell>
          <cell r="E238" t="str">
            <v>PESERTA</v>
          </cell>
          <cell r="F238">
            <v>213750</v>
          </cell>
        </row>
        <row r="239">
          <cell r="A239" t="str">
            <v>0001528045492</v>
          </cell>
          <cell r="B239" t="str">
            <v>0001528045503</v>
          </cell>
          <cell r="C239" t="str">
            <v>ENA RUMASA</v>
          </cell>
          <cell r="D239" t="str">
            <v/>
          </cell>
          <cell r="E239" t="str">
            <v>ISTRI</v>
          </cell>
          <cell r="F239">
            <v>0</v>
          </cell>
        </row>
        <row r="240">
          <cell r="A240" t="str">
            <v>0001528045492</v>
          </cell>
          <cell r="B240" t="str">
            <v>0001528045525</v>
          </cell>
          <cell r="C240" t="str">
            <v>ISNA OKTAVIANI</v>
          </cell>
          <cell r="D240" t="str">
            <v/>
          </cell>
          <cell r="E240" t="str">
            <v>ANAK</v>
          </cell>
          <cell r="F240">
            <v>0</v>
          </cell>
        </row>
        <row r="241">
          <cell r="A241" t="str">
            <v>0001528913711</v>
          </cell>
          <cell r="B241" t="str">
            <v>0001528913711</v>
          </cell>
          <cell r="C241" t="str">
            <v>BAGAS AGIL CAHYONO</v>
          </cell>
          <cell r="D241" t="str">
            <v>50652</v>
          </cell>
          <cell r="E241" t="str">
            <v>PESERTA</v>
          </cell>
          <cell r="F241">
            <v>137507</v>
          </cell>
        </row>
        <row r="242">
          <cell r="A242" t="str">
            <v>0001528913711</v>
          </cell>
          <cell r="B242" t="str">
            <v>0003641866378</v>
          </cell>
          <cell r="C242" t="str">
            <v xml:space="preserve"> ARSENIO IZYAN AGASTHYA ZAYN </v>
          </cell>
          <cell r="D242" t="str">
            <v>50652</v>
          </cell>
          <cell r="E242" t="str">
            <v>ANAK</v>
          </cell>
          <cell r="F242">
            <v>0</v>
          </cell>
        </row>
        <row r="243">
          <cell r="A243" t="str">
            <v>0001528978724</v>
          </cell>
          <cell r="B243" t="str">
            <v>0001528978724</v>
          </cell>
          <cell r="C243" t="str">
            <v>ADAM BAYU ARYA WARDANA</v>
          </cell>
          <cell r="D243" t="str">
            <v>50829</v>
          </cell>
          <cell r="E243" t="str">
            <v>PESERTA</v>
          </cell>
          <cell r="F243">
            <v>137507</v>
          </cell>
        </row>
        <row r="244">
          <cell r="A244" t="str">
            <v>0001529055134</v>
          </cell>
          <cell r="B244" t="str">
            <v>0001529055134</v>
          </cell>
          <cell r="C244" t="str">
            <v>ANANG SETIYAWAN</v>
          </cell>
          <cell r="D244" t="str">
            <v>50650</v>
          </cell>
          <cell r="E244" t="str">
            <v>PESERTA</v>
          </cell>
          <cell r="F244">
            <v>137507</v>
          </cell>
        </row>
        <row r="245">
          <cell r="A245" t="str">
            <v>0001529938675</v>
          </cell>
          <cell r="B245" t="str">
            <v>0001529938675</v>
          </cell>
          <cell r="C245" t="str">
            <v>PUTRI TIKA FRIANDARI</v>
          </cell>
          <cell r="D245" t="str">
            <v>UJK</v>
          </cell>
          <cell r="E245" t="str">
            <v>PESERTA</v>
          </cell>
          <cell r="F245">
            <v>137657</v>
          </cell>
        </row>
        <row r="246">
          <cell r="A246" t="str">
            <v>0001530172574</v>
          </cell>
          <cell r="B246" t="str">
            <v>0001530172574</v>
          </cell>
          <cell r="C246" t="str">
            <v>ZIMMA OLLIGA MUKTI YUSWAN DANI</v>
          </cell>
          <cell r="D246" t="str">
            <v>50700</v>
          </cell>
          <cell r="E246" t="str">
            <v>PESERTA</v>
          </cell>
          <cell r="F246">
            <v>137507</v>
          </cell>
        </row>
        <row r="247">
          <cell r="A247" t="str">
            <v>0001530189652</v>
          </cell>
          <cell r="B247" t="str">
            <v>0001530189652</v>
          </cell>
          <cell r="C247" t="str">
            <v>KIKI ANDRIYANI</v>
          </cell>
          <cell r="D247" t="str">
            <v>50811</v>
          </cell>
          <cell r="E247" t="str">
            <v>PESERTA</v>
          </cell>
          <cell r="F247">
            <v>137507</v>
          </cell>
        </row>
        <row r="248">
          <cell r="A248" t="str">
            <v>0001530189652</v>
          </cell>
          <cell r="B248" t="str">
            <v>0001530189663</v>
          </cell>
          <cell r="C248" t="str">
            <v>ANDI SUSILO</v>
          </cell>
          <cell r="D248" t="str">
            <v/>
          </cell>
          <cell r="E248" t="str">
            <v>SUAMI</v>
          </cell>
          <cell r="F248">
            <v>0</v>
          </cell>
        </row>
        <row r="249">
          <cell r="A249" t="str">
            <v>0001530189652</v>
          </cell>
          <cell r="B249" t="str">
            <v>0002764377832</v>
          </cell>
          <cell r="C249" t="str">
            <v>ARSYLA ZEA ZALESYA</v>
          </cell>
          <cell r="D249" t="str">
            <v/>
          </cell>
          <cell r="E249" t="str">
            <v>ANAK</v>
          </cell>
          <cell r="F249">
            <v>0</v>
          </cell>
        </row>
        <row r="250">
          <cell r="A250" t="str">
            <v>0001530294041</v>
          </cell>
          <cell r="B250" t="str">
            <v>0001530294041</v>
          </cell>
          <cell r="C250" t="str">
            <v>FAREL LUTFI MAHENDRA</v>
          </cell>
          <cell r="D250" t="str">
            <v>50835</v>
          </cell>
          <cell r="E250" t="str">
            <v>PESERTA</v>
          </cell>
          <cell r="F250">
            <v>137507</v>
          </cell>
        </row>
        <row r="251">
          <cell r="A251" t="str">
            <v>0001530346948</v>
          </cell>
          <cell r="B251" t="str">
            <v>0001530346948</v>
          </cell>
          <cell r="C251" t="str">
            <v>KRISTINA</v>
          </cell>
          <cell r="D251" t="str">
            <v>50842</v>
          </cell>
          <cell r="E251" t="str">
            <v>PESERTA</v>
          </cell>
          <cell r="F251">
            <v>137507</v>
          </cell>
        </row>
        <row r="252">
          <cell r="A252" t="str">
            <v>0001530541269</v>
          </cell>
          <cell r="B252" t="str">
            <v>0001530541269</v>
          </cell>
          <cell r="C252" t="str">
            <v>LINA TUL QORIAH</v>
          </cell>
          <cell r="D252" t="str">
            <v>50823</v>
          </cell>
          <cell r="E252" t="str">
            <v>PESERTA</v>
          </cell>
          <cell r="F252">
            <v>137507</v>
          </cell>
        </row>
        <row r="253">
          <cell r="A253" t="str">
            <v>0001530784271</v>
          </cell>
          <cell r="B253" t="str">
            <v>0001530784271</v>
          </cell>
          <cell r="C253" t="str">
            <v>DEVIANA PUTRI RAHAYU</v>
          </cell>
          <cell r="D253" t="str">
            <v>30317</v>
          </cell>
          <cell r="E253" t="str">
            <v>PESERTA</v>
          </cell>
          <cell r="F253">
            <v>137657</v>
          </cell>
        </row>
        <row r="254">
          <cell r="A254" t="str">
            <v>0001530784271</v>
          </cell>
          <cell r="B254" t="str">
            <v>0001530784282</v>
          </cell>
          <cell r="C254" t="str">
            <v>MARSUDI</v>
          </cell>
          <cell r="D254" t="str">
            <v>30317</v>
          </cell>
          <cell r="E254" t="str">
            <v>SUAMI</v>
          </cell>
          <cell r="F254">
            <v>0</v>
          </cell>
        </row>
        <row r="255">
          <cell r="A255" t="str">
            <v>0001530784271</v>
          </cell>
          <cell r="B255" t="str">
            <v>0002890920971</v>
          </cell>
          <cell r="C255" t="str">
            <v>NAJMA AFSHEEN MYESHA</v>
          </cell>
          <cell r="D255" t="str">
            <v/>
          </cell>
          <cell r="E255" t="str">
            <v>ANAK</v>
          </cell>
          <cell r="F255">
            <v>0</v>
          </cell>
        </row>
        <row r="256">
          <cell r="A256" t="str">
            <v>0001530784271</v>
          </cell>
          <cell r="B256" t="str">
            <v>0001530784293</v>
          </cell>
          <cell r="C256" t="str">
            <v>ANUGERAH TITO SETIAWAN</v>
          </cell>
          <cell r="D256" t="str">
            <v/>
          </cell>
          <cell r="E256" t="str">
            <v>ANAK</v>
          </cell>
          <cell r="F256">
            <v>0</v>
          </cell>
        </row>
        <row r="257">
          <cell r="A257" t="str">
            <v>0001531272565</v>
          </cell>
          <cell r="B257" t="str">
            <v>0001531272565</v>
          </cell>
          <cell r="C257" t="str">
            <v>IHSAN YUMNA ANANTA</v>
          </cell>
          <cell r="D257" t="str">
            <v>50742</v>
          </cell>
          <cell r="E257" t="str">
            <v>PESERTA</v>
          </cell>
          <cell r="F257">
            <v>137507</v>
          </cell>
        </row>
        <row r="258">
          <cell r="A258" t="str">
            <v>0001531408476</v>
          </cell>
          <cell r="B258" t="str">
            <v>0001531408476</v>
          </cell>
          <cell r="C258" t="str">
            <v>DWI RETNO PRASTYO</v>
          </cell>
          <cell r="D258" t="str">
            <v>50605</v>
          </cell>
          <cell r="E258" t="str">
            <v>PESERTA</v>
          </cell>
          <cell r="F258">
            <v>137557</v>
          </cell>
        </row>
        <row r="259">
          <cell r="A259" t="str">
            <v>0001531408476</v>
          </cell>
          <cell r="B259" t="str">
            <v>0002229935905</v>
          </cell>
          <cell r="C259" t="str">
            <v>RIANA WULANDARI</v>
          </cell>
          <cell r="D259" t="str">
            <v/>
          </cell>
          <cell r="E259" t="str">
            <v>ISTRI</v>
          </cell>
          <cell r="F259">
            <v>0</v>
          </cell>
        </row>
        <row r="260">
          <cell r="A260" t="str">
            <v>0001531408476</v>
          </cell>
          <cell r="B260" t="str">
            <v>0003122585109</v>
          </cell>
          <cell r="C260" t="str">
            <v>KENAN KAINDRA GUMILANG</v>
          </cell>
          <cell r="D260" t="str">
            <v/>
          </cell>
          <cell r="E260" t="str">
            <v>ANAK</v>
          </cell>
          <cell r="F260">
            <v>0</v>
          </cell>
        </row>
        <row r="261">
          <cell r="A261" t="str">
            <v>0001531472657</v>
          </cell>
          <cell r="B261" t="str">
            <v>0001531472657</v>
          </cell>
          <cell r="C261" t="str">
            <v>RIYANAH</v>
          </cell>
          <cell r="D261" t="str">
            <v>50789</v>
          </cell>
          <cell r="E261" t="str">
            <v>PESERTA</v>
          </cell>
          <cell r="F261">
            <v>137507</v>
          </cell>
        </row>
        <row r="262">
          <cell r="A262" t="str">
            <v>0001531601368</v>
          </cell>
          <cell r="B262" t="str">
            <v>0001531601368</v>
          </cell>
          <cell r="C262" t="str">
            <v>MU'TIL FALAH</v>
          </cell>
          <cell r="D262" t="str">
            <v>50777</v>
          </cell>
          <cell r="E262" t="str">
            <v>PESERTA</v>
          </cell>
          <cell r="F262">
            <v>137507</v>
          </cell>
        </row>
        <row r="263">
          <cell r="A263" t="str">
            <v>0001531727739</v>
          </cell>
          <cell r="B263" t="str">
            <v>0001531727739</v>
          </cell>
          <cell r="C263" t="str">
            <v>DHIMAS BAYU NUGROHO</v>
          </cell>
          <cell r="D263" t="str">
            <v>30331</v>
          </cell>
          <cell r="E263" t="str">
            <v>PESERTA</v>
          </cell>
          <cell r="F263">
            <v>137657</v>
          </cell>
        </row>
        <row r="264">
          <cell r="A264" t="str">
            <v>0001531797783</v>
          </cell>
          <cell r="B264" t="str">
            <v>0001531797783</v>
          </cell>
          <cell r="C264" t="str">
            <v>IRMA KHOLIFAH</v>
          </cell>
          <cell r="D264" t="str">
            <v>50767</v>
          </cell>
          <cell r="E264" t="str">
            <v>PESERTA</v>
          </cell>
          <cell r="F264">
            <v>137507</v>
          </cell>
        </row>
        <row r="265">
          <cell r="A265" t="str">
            <v>0001531998134</v>
          </cell>
          <cell r="B265" t="str">
            <v>0001531998134</v>
          </cell>
          <cell r="C265" t="str">
            <v>LEMBAZUN DIYAH WULANSARI</v>
          </cell>
          <cell r="D265" t="str">
            <v>50737</v>
          </cell>
          <cell r="E265" t="str">
            <v>PESERTA</v>
          </cell>
          <cell r="F265">
            <v>137507</v>
          </cell>
        </row>
        <row r="266">
          <cell r="A266" t="str">
            <v>0001532979944</v>
          </cell>
          <cell r="B266" t="str">
            <v>0001532979944</v>
          </cell>
          <cell r="C266" t="str">
            <v>ASNA NUR AINI</v>
          </cell>
          <cell r="D266" t="str">
            <v>50708</v>
          </cell>
          <cell r="E266" t="str">
            <v>PESERTA</v>
          </cell>
          <cell r="F266">
            <v>137507</v>
          </cell>
        </row>
        <row r="267">
          <cell r="A267" t="str">
            <v>0001534449126</v>
          </cell>
          <cell r="B267" t="str">
            <v>0001534449126</v>
          </cell>
          <cell r="C267" t="str">
            <v>ANANG CAHYONO PUTRO</v>
          </cell>
          <cell r="D267" t="str">
            <v>50712</v>
          </cell>
          <cell r="E267" t="str">
            <v>PESERTA</v>
          </cell>
          <cell r="F267">
            <v>137507</v>
          </cell>
        </row>
        <row r="268">
          <cell r="A268" t="str">
            <v>0001534457384</v>
          </cell>
          <cell r="B268" t="str">
            <v>0001534457384</v>
          </cell>
          <cell r="C268" t="str">
            <v>MELLANIA DONA PERMATASARI</v>
          </cell>
          <cell r="D268" t="str">
            <v>50627</v>
          </cell>
          <cell r="E268" t="str">
            <v>PESERTA</v>
          </cell>
          <cell r="F268">
            <v>137507</v>
          </cell>
        </row>
        <row r="269">
          <cell r="A269" t="str">
            <v>0001534457384</v>
          </cell>
          <cell r="B269" t="str">
            <v>0003131539492</v>
          </cell>
          <cell r="C269" t="str">
            <v>JENNAIRA MELFITA ASSYIFA</v>
          </cell>
          <cell r="D269" t="str">
            <v/>
          </cell>
          <cell r="E269" t="str">
            <v>ANAK</v>
          </cell>
          <cell r="F269">
            <v>0</v>
          </cell>
        </row>
        <row r="270">
          <cell r="A270" t="str">
            <v>0001534595872</v>
          </cell>
          <cell r="B270" t="str">
            <v>0001534595872</v>
          </cell>
          <cell r="C270" t="str">
            <v>YOLANDA ARVIANI</v>
          </cell>
          <cell r="D270" t="str">
            <v>50680</v>
          </cell>
          <cell r="E270" t="str">
            <v>PESERTA</v>
          </cell>
          <cell r="F270">
            <v>137507</v>
          </cell>
        </row>
        <row r="271">
          <cell r="A271" t="str">
            <v>0001601617509</v>
          </cell>
          <cell r="B271" t="str">
            <v>0001601617509</v>
          </cell>
          <cell r="C271" t="str">
            <v>ADIK ENANG NUGROHO</v>
          </cell>
          <cell r="D271" t="str">
            <v>50679</v>
          </cell>
          <cell r="E271" t="str">
            <v>PESERTA</v>
          </cell>
          <cell r="F271">
            <v>137507</v>
          </cell>
        </row>
        <row r="272">
          <cell r="A272" t="str">
            <v>0001614699404</v>
          </cell>
          <cell r="B272" t="str">
            <v>0001614699404</v>
          </cell>
          <cell r="C272" t="str">
            <v>AGUS SUDEBYO</v>
          </cell>
          <cell r="D272" t="str">
            <v>50826</v>
          </cell>
          <cell r="E272" t="str">
            <v>PESERTA</v>
          </cell>
          <cell r="F272">
            <v>137507</v>
          </cell>
        </row>
        <row r="273">
          <cell r="A273" t="str">
            <v>0001629720325</v>
          </cell>
          <cell r="B273" t="str">
            <v>0001629720325</v>
          </cell>
          <cell r="C273" t="str">
            <v>DEWI NOVITA SARI</v>
          </cell>
          <cell r="D273" t="str">
            <v>12</v>
          </cell>
          <cell r="E273" t="str">
            <v>PESERTA</v>
          </cell>
          <cell r="F273">
            <v>213650</v>
          </cell>
        </row>
        <row r="274">
          <cell r="A274" t="str">
            <v>0001690880501</v>
          </cell>
          <cell r="B274" t="str">
            <v>0001690880501</v>
          </cell>
          <cell r="C274" t="str">
            <v>MUSTHAFA ARIF ALMANFALUTHI</v>
          </cell>
          <cell r="D274" t="str">
            <v>50641</v>
          </cell>
          <cell r="E274" t="str">
            <v>PESERTA</v>
          </cell>
          <cell r="F274">
            <v>137507</v>
          </cell>
        </row>
        <row r="275">
          <cell r="A275" t="str">
            <v>0001691642924</v>
          </cell>
          <cell r="B275" t="str">
            <v>0001691642924</v>
          </cell>
          <cell r="C275" t="str">
            <v>DIAN SULISTYO</v>
          </cell>
          <cell r="D275" t="str">
            <v>50481</v>
          </cell>
          <cell r="E275" t="str">
            <v>PESERTA</v>
          </cell>
          <cell r="F275">
            <v>137607</v>
          </cell>
        </row>
        <row r="276">
          <cell r="A276" t="str">
            <v>0001691642924</v>
          </cell>
          <cell r="B276" t="str">
            <v>0000602810853</v>
          </cell>
          <cell r="C276" t="str">
            <v>DEVI APRILIA</v>
          </cell>
          <cell r="D276" t="str">
            <v/>
          </cell>
          <cell r="E276" t="str">
            <v>ISTRI</v>
          </cell>
          <cell r="F276">
            <v>0</v>
          </cell>
        </row>
        <row r="277">
          <cell r="A277" t="str">
            <v>0001691642924</v>
          </cell>
          <cell r="B277" t="str">
            <v>0003537737842</v>
          </cell>
          <cell r="C277" t="str">
            <v>SHARLETTA QIANA AFFERA</v>
          </cell>
          <cell r="D277" t="str">
            <v>50481</v>
          </cell>
          <cell r="E277" t="str">
            <v>ANAK</v>
          </cell>
          <cell r="F277">
            <v>0</v>
          </cell>
        </row>
        <row r="278">
          <cell r="A278" t="str">
            <v>0001691642924</v>
          </cell>
          <cell r="B278" t="str">
            <v>0001691642935</v>
          </cell>
          <cell r="C278" t="str">
            <v>ASHILLA GLADYS ARGYA FADANTY</v>
          </cell>
          <cell r="D278" t="str">
            <v/>
          </cell>
          <cell r="E278" t="str">
            <v>ANAK</v>
          </cell>
          <cell r="F278">
            <v>0</v>
          </cell>
        </row>
        <row r="279">
          <cell r="A279" t="str">
            <v>0001691651439</v>
          </cell>
          <cell r="B279" t="str">
            <v>0001691651439</v>
          </cell>
          <cell r="C279" t="str">
            <v>AMANDA RAHMA DANI</v>
          </cell>
          <cell r="D279" t="str">
            <v>50808</v>
          </cell>
          <cell r="E279" t="str">
            <v>PESERTA</v>
          </cell>
          <cell r="F279">
            <v>137507</v>
          </cell>
        </row>
        <row r="280">
          <cell r="A280" t="str">
            <v>0001691651439</v>
          </cell>
          <cell r="B280" t="str">
            <v>0001884868896</v>
          </cell>
          <cell r="C280" t="str">
            <v>MOHAMAD ZAIDATUN NURAINI HASIM</v>
          </cell>
          <cell r="D280" t="str">
            <v>50808</v>
          </cell>
          <cell r="E280" t="str">
            <v>SUAMI</v>
          </cell>
          <cell r="F280">
            <v>0</v>
          </cell>
        </row>
        <row r="281">
          <cell r="A281" t="str">
            <v>0001691651439</v>
          </cell>
          <cell r="B281" t="str">
            <v>0003648520271</v>
          </cell>
          <cell r="C281" t="str">
            <v>muhammad devian nevan alrescha</v>
          </cell>
          <cell r="D281" t="str">
            <v>50808</v>
          </cell>
          <cell r="E281" t="str">
            <v>ANAK</v>
          </cell>
          <cell r="F281">
            <v>0</v>
          </cell>
        </row>
        <row r="282">
          <cell r="A282" t="str">
            <v>0001691761814</v>
          </cell>
          <cell r="B282" t="str">
            <v>0001691761814</v>
          </cell>
          <cell r="C282" t="str">
            <v>FADLILATUN NUR LAELA</v>
          </cell>
          <cell r="D282" t="str">
            <v>50604</v>
          </cell>
          <cell r="E282" t="str">
            <v>PESERTA</v>
          </cell>
          <cell r="F282">
            <v>137557</v>
          </cell>
        </row>
        <row r="283">
          <cell r="A283" t="str">
            <v>0001691761814</v>
          </cell>
          <cell r="B283" t="str">
            <v>0001691761836</v>
          </cell>
          <cell r="C283" t="str">
            <v>NAYLA MAGHFIROTUL AULYA</v>
          </cell>
          <cell r="D283" t="str">
            <v/>
          </cell>
          <cell r="E283" t="str">
            <v>ANAK</v>
          </cell>
          <cell r="F283">
            <v>0</v>
          </cell>
        </row>
        <row r="284">
          <cell r="A284" t="str">
            <v>0001691761814</v>
          </cell>
          <cell r="B284" t="str">
            <v>0003071743053</v>
          </cell>
          <cell r="C284" t="str">
            <v xml:space="preserve">NATHAN FAHREZA ALHANAN </v>
          </cell>
          <cell r="D284" t="str">
            <v/>
          </cell>
          <cell r="E284" t="str">
            <v>ANAK</v>
          </cell>
          <cell r="F284">
            <v>0</v>
          </cell>
        </row>
        <row r="285">
          <cell r="A285" t="str">
            <v>0001692258434</v>
          </cell>
          <cell r="B285" t="str">
            <v>0001692258434</v>
          </cell>
          <cell r="C285" t="str">
            <v>AGUS PRIYONO</v>
          </cell>
          <cell r="D285" t="str">
            <v>50613</v>
          </cell>
          <cell r="E285" t="str">
            <v>PESERTA</v>
          </cell>
          <cell r="F285">
            <v>137557</v>
          </cell>
        </row>
        <row r="286">
          <cell r="A286" t="str">
            <v>0001692258434</v>
          </cell>
          <cell r="B286" t="str">
            <v>0003122589194</v>
          </cell>
          <cell r="C286" t="str">
            <v>NABA ARUNA AYYARA</v>
          </cell>
          <cell r="D286" t="str">
            <v/>
          </cell>
          <cell r="E286" t="str">
            <v>ANAK</v>
          </cell>
          <cell r="F286">
            <v>0</v>
          </cell>
        </row>
        <row r="287">
          <cell r="A287" t="str">
            <v>0001692258603</v>
          </cell>
          <cell r="B287" t="str">
            <v>0001692258603</v>
          </cell>
          <cell r="C287" t="str">
            <v>ARIFATUN</v>
          </cell>
          <cell r="D287" t="str">
            <v>50636</v>
          </cell>
          <cell r="E287" t="str">
            <v>PESERTA</v>
          </cell>
          <cell r="F287">
            <v>137507</v>
          </cell>
        </row>
        <row r="288">
          <cell r="A288" t="str">
            <v>0001692258614</v>
          </cell>
          <cell r="B288" t="str">
            <v>0001692258614</v>
          </cell>
          <cell r="C288" t="str">
            <v>UMI KULSUM</v>
          </cell>
          <cell r="D288" t="str">
            <v>50656</v>
          </cell>
          <cell r="E288" t="str">
            <v>PESERTA</v>
          </cell>
          <cell r="F288">
            <v>137507</v>
          </cell>
        </row>
        <row r="289">
          <cell r="A289" t="str">
            <v>0001692258614</v>
          </cell>
          <cell r="B289" t="str">
            <v>0001964095852</v>
          </cell>
          <cell r="C289" t="str">
            <v>kaliman</v>
          </cell>
          <cell r="D289" t="str">
            <v/>
          </cell>
          <cell r="E289" t="str">
            <v>SUAMI</v>
          </cell>
          <cell r="F289">
            <v>0</v>
          </cell>
        </row>
        <row r="290">
          <cell r="A290" t="str">
            <v>0001692258614</v>
          </cell>
          <cell r="B290" t="str">
            <v>0001964095569</v>
          </cell>
          <cell r="C290" t="str">
            <v>ibrahim bagus mustofa</v>
          </cell>
          <cell r="D290" t="str">
            <v/>
          </cell>
          <cell r="E290" t="str">
            <v>ANAK</v>
          </cell>
          <cell r="F290">
            <v>0</v>
          </cell>
        </row>
        <row r="291">
          <cell r="A291" t="str">
            <v>0001692258682</v>
          </cell>
          <cell r="B291" t="str">
            <v>0001692258682</v>
          </cell>
          <cell r="C291" t="str">
            <v>NUR HAYATI</v>
          </cell>
          <cell r="D291" t="str">
            <v>50635</v>
          </cell>
          <cell r="E291" t="str">
            <v>PESERTA</v>
          </cell>
          <cell r="F291">
            <v>137507</v>
          </cell>
        </row>
        <row r="292">
          <cell r="A292" t="str">
            <v>0001692258726</v>
          </cell>
          <cell r="B292" t="str">
            <v>0001692258726</v>
          </cell>
          <cell r="C292" t="str">
            <v>SRI HANDAYANI</v>
          </cell>
          <cell r="D292" t="str">
            <v>50660</v>
          </cell>
          <cell r="E292" t="str">
            <v>PESERTA</v>
          </cell>
          <cell r="F292">
            <v>137507</v>
          </cell>
        </row>
        <row r="293">
          <cell r="A293" t="str">
            <v>0001692258726</v>
          </cell>
          <cell r="B293" t="str">
            <v>0000604258187</v>
          </cell>
          <cell r="C293" t="str">
            <v>INDAR SUMIARTO</v>
          </cell>
          <cell r="D293" t="str">
            <v>50660</v>
          </cell>
          <cell r="E293" t="str">
            <v>SUAMI</v>
          </cell>
          <cell r="F293">
            <v>0</v>
          </cell>
        </row>
        <row r="294">
          <cell r="A294" t="str">
            <v>0001692258726</v>
          </cell>
          <cell r="B294" t="str">
            <v>0002931775852</v>
          </cell>
          <cell r="C294" t="str">
            <v>AZALIA PUTRI KANAYA</v>
          </cell>
          <cell r="D294" t="str">
            <v/>
          </cell>
          <cell r="E294" t="str">
            <v>ANAK</v>
          </cell>
          <cell r="F294">
            <v>0</v>
          </cell>
        </row>
        <row r="295">
          <cell r="A295" t="str">
            <v>0001692258726</v>
          </cell>
          <cell r="B295" t="str">
            <v>0001963946259</v>
          </cell>
          <cell r="C295" t="str">
            <v>GABRIEL AHMAD RAMADHAN</v>
          </cell>
          <cell r="D295" t="str">
            <v/>
          </cell>
          <cell r="E295" t="str">
            <v>ANAK</v>
          </cell>
          <cell r="F295">
            <v>0</v>
          </cell>
        </row>
        <row r="296">
          <cell r="A296" t="str">
            <v>0001692258838</v>
          </cell>
          <cell r="B296" t="str">
            <v>0001692258838</v>
          </cell>
          <cell r="C296" t="str">
            <v>SITI NURCHAYATI</v>
          </cell>
          <cell r="D296" t="str">
            <v>50697</v>
          </cell>
          <cell r="E296" t="str">
            <v>PESERTA</v>
          </cell>
          <cell r="F296">
            <v>137507</v>
          </cell>
        </row>
        <row r="297">
          <cell r="A297" t="str">
            <v>0001692258895</v>
          </cell>
          <cell r="B297" t="str">
            <v>0001692258895</v>
          </cell>
          <cell r="C297" t="str">
            <v>SRI MARYATI</v>
          </cell>
          <cell r="D297" t="str">
            <v>50706</v>
          </cell>
          <cell r="E297" t="str">
            <v>PESERTA</v>
          </cell>
          <cell r="F297">
            <v>137507</v>
          </cell>
        </row>
        <row r="298">
          <cell r="A298" t="str">
            <v>0001692258895</v>
          </cell>
          <cell r="B298" t="str">
            <v>0001963988267</v>
          </cell>
          <cell r="C298" t="str">
            <v>RAYHAN JULIO PRADITA</v>
          </cell>
          <cell r="D298" t="str">
            <v/>
          </cell>
          <cell r="E298" t="str">
            <v>ANAK</v>
          </cell>
          <cell r="F298">
            <v>0</v>
          </cell>
        </row>
        <row r="299">
          <cell r="A299" t="str">
            <v>0001692258928</v>
          </cell>
          <cell r="B299" t="str">
            <v>0001692258928</v>
          </cell>
          <cell r="C299" t="str">
            <v>RIZKY PRADEVI UTAMI</v>
          </cell>
          <cell r="D299" t="str">
            <v>BC PR 11</v>
          </cell>
          <cell r="E299" t="str">
            <v>PESERTA</v>
          </cell>
          <cell r="F299">
            <v>137757</v>
          </cell>
        </row>
        <row r="300">
          <cell r="A300" t="str">
            <v>0001692258928</v>
          </cell>
          <cell r="B300" t="str">
            <v>0001964256671</v>
          </cell>
          <cell r="C300" t="str">
            <v>WIKAN KASWANTO</v>
          </cell>
          <cell r="E300" t="str">
            <v>SUAMI</v>
          </cell>
          <cell r="F300">
            <v>0</v>
          </cell>
        </row>
        <row r="301">
          <cell r="A301" t="str">
            <v>0001692258928</v>
          </cell>
          <cell r="B301" t="str">
            <v>0002457511964</v>
          </cell>
          <cell r="C301" t="str">
            <v>RAKHA ZHIAN ARSHAD XAVIER</v>
          </cell>
          <cell r="D301" t="str">
            <v>BC PR 11</v>
          </cell>
          <cell r="E301" t="str">
            <v>ANAK</v>
          </cell>
          <cell r="F301">
            <v>0</v>
          </cell>
        </row>
        <row r="302">
          <cell r="A302" t="str">
            <v>0001692258928</v>
          </cell>
          <cell r="B302" t="str">
            <v>0001964253969</v>
          </cell>
          <cell r="C302" t="str">
            <v>NADA KHANSA SYAFA XAVIER</v>
          </cell>
          <cell r="E302" t="str">
            <v>ANAK</v>
          </cell>
          <cell r="F302">
            <v>0</v>
          </cell>
        </row>
        <row r="303">
          <cell r="A303" t="str">
            <v>0001693149243</v>
          </cell>
          <cell r="B303" t="str">
            <v>0001693149243</v>
          </cell>
          <cell r="C303" t="str">
            <v>WAHYU PUTRO GINANJAR</v>
          </cell>
          <cell r="D303" t="str">
            <v>50722</v>
          </cell>
          <cell r="E303" t="str">
            <v>PESERTA</v>
          </cell>
          <cell r="F303">
            <v>137507</v>
          </cell>
        </row>
        <row r="304">
          <cell r="A304" t="str">
            <v>0001693524925</v>
          </cell>
          <cell r="B304" t="str">
            <v>0001693524925</v>
          </cell>
          <cell r="C304" t="str">
            <v>TITIS HERAWATI</v>
          </cell>
          <cell r="D304" t="str">
            <v>50684</v>
          </cell>
          <cell r="E304" t="str">
            <v>PESERTA</v>
          </cell>
          <cell r="F304">
            <v>137507</v>
          </cell>
        </row>
        <row r="305">
          <cell r="A305" t="str">
            <v>0001693524925</v>
          </cell>
          <cell r="B305" t="str">
            <v>0003506123136</v>
          </cell>
          <cell r="C305" t="str">
            <v>PONIMIN</v>
          </cell>
          <cell r="D305" t="str">
            <v/>
          </cell>
          <cell r="E305" t="str">
            <v>SUAMI</v>
          </cell>
          <cell r="F305">
            <v>0</v>
          </cell>
        </row>
        <row r="306">
          <cell r="A306" t="str">
            <v>0001693524925</v>
          </cell>
          <cell r="B306" t="str">
            <v>0003309575927</v>
          </cell>
          <cell r="C306" t="str">
            <v>KAYDEN KEGAN ALKANTARA</v>
          </cell>
          <cell r="D306" t="str">
            <v/>
          </cell>
          <cell r="E306" t="str">
            <v>ANAK</v>
          </cell>
          <cell r="F306">
            <v>0</v>
          </cell>
        </row>
        <row r="307">
          <cell r="A307" t="str">
            <v>0001693609582</v>
          </cell>
          <cell r="B307" t="str">
            <v>0001693609582</v>
          </cell>
          <cell r="C307" t="str">
            <v>SIGIT HARDIYANTO</v>
          </cell>
          <cell r="D307" t="str">
            <v>UJK</v>
          </cell>
          <cell r="E307" t="str">
            <v>PESERTA</v>
          </cell>
          <cell r="F307">
            <v>141257</v>
          </cell>
        </row>
        <row r="308">
          <cell r="A308" t="str">
            <v>0001693609582</v>
          </cell>
          <cell r="B308" t="str">
            <v>0003609824455</v>
          </cell>
          <cell r="C308" t="str">
            <v>ALDEVARO KENZO HARDIAN</v>
          </cell>
          <cell r="D308" t="str">
            <v>UJK</v>
          </cell>
          <cell r="E308" t="str">
            <v>ANAK</v>
          </cell>
          <cell r="F308">
            <v>0</v>
          </cell>
        </row>
        <row r="309">
          <cell r="A309" t="str">
            <v>0001694233901</v>
          </cell>
          <cell r="B309" t="str">
            <v>0001694233901</v>
          </cell>
          <cell r="C309" t="str">
            <v>PRENCI PINALDI</v>
          </cell>
          <cell r="D309" t="str">
            <v>-</v>
          </cell>
          <cell r="E309" t="str">
            <v>PESERTA</v>
          </cell>
          <cell r="F309">
            <v>137607</v>
          </cell>
        </row>
        <row r="310">
          <cell r="A310" t="str">
            <v>0001710879625</v>
          </cell>
          <cell r="B310" t="str">
            <v>0001710879625</v>
          </cell>
          <cell r="C310" t="str">
            <v>DEWI NUR FAIYAH</v>
          </cell>
          <cell r="D310" t="str">
            <v>3040</v>
          </cell>
          <cell r="E310" t="str">
            <v>PESERTA</v>
          </cell>
          <cell r="F310">
            <v>142757</v>
          </cell>
        </row>
        <row r="311">
          <cell r="A311" t="str">
            <v>0001743814574</v>
          </cell>
          <cell r="B311" t="str">
            <v>0001743814574</v>
          </cell>
          <cell r="C311" t="str">
            <v>NUR KHOLIS</v>
          </cell>
          <cell r="D311" t="str">
            <v>50546</v>
          </cell>
          <cell r="E311" t="str">
            <v>PESERTA</v>
          </cell>
          <cell r="F311">
            <v>137507</v>
          </cell>
        </row>
        <row r="312">
          <cell r="A312" t="str">
            <v>0001743814574</v>
          </cell>
          <cell r="B312" t="str">
            <v>0001743814585</v>
          </cell>
          <cell r="C312" t="str">
            <v>WINARTI</v>
          </cell>
          <cell r="D312" t="str">
            <v/>
          </cell>
          <cell r="E312" t="str">
            <v>ISTRI</v>
          </cell>
          <cell r="F312">
            <v>0</v>
          </cell>
        </row>
        <row r="313">
          <cell r="A313" t="str">
            <v>0001743814574</v>
          </cell>
          <cell r="B313" t="str">
            <v>0001743814596</v>
          </cell>
          <cell r="C313" t="str">
            <v>SHILVIA NUR WIJAYANTI</v>
          </cell>
          <cell r="D313" t="str">
            <v/>
          </cell>
          <cell r="E313" t="str">
            <v>ANAK</v>
          </cell>
          <cell r="F313">
            <v>0</v>
          </cell>
        </row>
        <row r="314">
          <cell r="A314" t="str">
            <v>0001743814574</v>
          </cell>
          <cell r="B314" t="str">
            <v>0002509515123</v>
          </cell>
          <cell r="C314" t="str">
            <v>KHALISA NAURA ATHIFA</v>
          </cell>
          <cell r="D314" t="str">
            <v/>
          </cell>
          <cell r="E314" t="str">
            <v>ANAK</v>
          </cell>
          <cell r="F314">
            <v>0</v>
          </cell>
        </row>
        <row r="315">
          <cell r="A315" t="str">
            <v>0001744629939</v>
          </cell>
          <cell r="B315" t="str">
            <v>0001744629939</v>
          </cell>
          <cell r="C315" t="str">
            <v>MAMIT SUMITRA</v>
          </cell>
          <cell r="D315" t="str">
            <v>50628</v>
          </cell>
          <cell r="E315" t="str">
            <v>PESERTA</v>
          </cell>
          <cell r="F315">
            <v>137507</v>
          </cell>
        </row>
        <row r="316">
          <cell r="A316" t="str">
            <v>0001744629939</v>
          </cell>
          <cell r="B316" t="str">
            <v>0001744629941</v>
          </cell>
          <cell r="C316" t="str">
            <v>ELA LASNAWATI</v>
          </cell>
          <cell r="D316" t="str">
            <v/>
          </cell>
          <cell r="E316" t="str">
            <v>ISTRI</v>
          </cell>
          <cell r="F316">
            <v>0</v>
          </cell>
        </row>
        <row r="317">
          <cell r="A317" t="str">
            <v>0001744629939</v>
          </cell>
          <cell r="B317" t="str">
            <v>0001744629963</v>
          </cell>
          <cell r="C317" t="str">
            <v>MUHAMMAD NAUFAL SYAKIB</v>
          </cell>
          <cell r="D317" t="str">
            <v/>
          </cell>
          <cell r="E317" t="str">
            <v>ANAK</v>
          </cell>
          <cell r="F317">
            <v>0</v>
          </cell>
        </row>
        <row r="318">
          <cell r="A318" t="str">
            <v>0001801136092</v>
          </cell>
          <cell r="B318" t="str">
            <v>0001801136092</v>
          </cell>
          <cell r="C318" t="str">
            <v>REYHAN PRADITYA RISVAN ALVIANO</v>
          </cell>
          <cell r="D318" t="str">
            <v>-</v>
          </cell>
          <cell r="E318" t="str">
            <v>PESERTA</v>
          </cell>
          <cell r="F318">
            <v>137507</v>
          </cell>
        </row>
        <row r="319">
          <cell r="A319" t="str">
            <v>0001803043067</v>
          </cell>
          <cell r="B319" t="str">
            <v>0001803043067</v>
          </cell>
          <cell r="C319" t="str">
            <v>LAELA FARADILA PUTRI AMANDA</v>
          </cell>
          <cell r="D319" t="str">
            <v>50732</v>
          </cell>
          <cell r="E319" t="str">
            <v>PESERTA</v>
          </cell>
          <cell r="F319">
            <v>137507</v>
          </cell>
        </row>
        <row r="320">
          <cell r="A320" t="str">
            <v>0001805193955</v>
          </cell>
          <cell r="B320" t="str">
            <v>0001805193955</v>
          </cell>
          <cell r="C320" t="str">
            <v>SADAR</v>
          </cell>
          <cell r="D320" t="str">
            <v>sc190115</v>
          </cell>
          <cell r="E320" t="str">
            <v>PESERTA</v>
          </cell>
          <cell r="F320">
            <v>218750</v>
          </cell>
        </row>
        <row r="321">
          <cell r="A321" t="str">
            <v>0001805193955</v>
          </cell>
          <cell r="B321" t="str">
            <v>0001813791273</v>
          </cell>
          <cell r="C321" t="str">
            <v>UMISAH</v>
          </cell>
          <cell r="E321" t="str">
            <v>ISTRI</v>
          </cell>
          <cell r="F321">
            <v>0</v>
          </cell>
        </row>
        <row r="322">
          <cell r="A322" t="str">
            <v>0001805193955</v>
          </cell>
          <cell r="B322" t="str">
            <v>0001813793196</v>
          </cell>
          <cell r="C322" t="str">
            <v>RIZKA FANISA DWIMAY</v>
          </cell>
          <cell r="E322" t="str">
            <v>ANAK</v>
          </cell>
          <cell r="F322">
            <v>0</v>
          </cell>
        </row>
        <row r="323">
          <cell r="A323" t="str">
            <v>0001805193955</v>
          </cell>
          <cell r="B323" t="str">
            <v>0001813794039</v>
          </cell>
          <cell r="C323" t="str">
            <v>ARKHANUL EKA NOVADIKA</v>
          </cell>
          <cell r="E323" t="str">
            <v>ANAK</v>
          </cell>
          <cell r="F323">
            <v>0</v>
          </cell>
        </row>
        <row r="324">
          <cell r="A324" t="str">
            <v>0001805202731</v>
          </cell>
          <cell r="B324" t="str">
            <v>0001805202731</v>
          </cell>
          <cell r="C324" t="str">
            <v>MINARSIH</v>
          </cell>
          <cell r="D324" t="str">
            <v>sc190115</v>
          </cell>
          <cell r="E324" t="str">
            <v>PESERTA</v>
          </cell>
          <cell r="F324">
            <v>141257</v>
          </cell>
        </row>
        <row r="325">
          <cell r="A325" t="str">
            <v>0001805202731</v>
          </cell>
          <cell r="B325" t="str">
            <v>0001813800971</v>
          </cell>
          <cell r="C325" t="str">
            <v>STEVEN RESTU HERLAMBANG</v>
          </cell>
          <cell r="E325" t="str">
            <v>ANAK</v>
          </cell>
          <cell r="F325">
            <v>0</v>
          </cell>
        </row>
        <row r="326">
          <cell r="A326" t="str">
            <v>0001805202731</v>
          </cell>
          <cell r="B326" t="str">
            <v>0001813800172</v>
          </cell>
          <cell r="C326" t="str">
            <v>ARYA DAMAR SINATRIYA AGATA</v>
          </cell>
          <cell r="E326" t="str">
            <v>ANAK</v>
          </cell>
          <cell r="F326">
            <v>0</v>
          </cell>
        </row>
        <row r="327">
          <cell r="A327" t="str">
            <v>0001805205003</v>
          </cell>
          <cell r="B327" t="str">
            <v>0001805205003</v>
          </cell>
          <cell r="C327" t="str">
            <v>WIJI SUGIARTO</v>
          </cell>
          <cell r="D327" t="str">
            <v>sc190115</v>
          </cell>
          <cell r="E327" t="str">
            <v>PESERTA</v>
          </cell>
          <cell r="F327">
            <v>218750</v>
          </cell>
        </row>
        <row r="328">
          <cell r="A328" t="str">
            <v>0001805205003</v>
          </cell>
          <cell r="B328" t="str">
            <v>0001825734161</v>
          </cell>
          <cell r="C328" t="str">
            <v>SUPARMI</v>
          </cell>
          <cell r="E328" t="str">
            <v>ISTRI</v>
          </cell>
          <cell r="F328">
            <v>0</v>
          </cell>
        </row>
        <row r="329">
          <cell r="A329" t="str">
            <v>0001820807076</v>
          </cell>
          <cell r="B329" t="str">
            <v>0001820807076</v>
          </cell>
          <cell r="C329" t="str">
            <v>TRI MARYANTI</v>
          </cell>
          <cell r="D329" t="str">
            <v>50655</v>
          </cell>
          <cell r="E329" t="str">
            <v>PESERTA</v>
          </cell>
          <cell r="F329">
            <v>137507</v>
          </cell>
        </row>
        <row r="330">
          <cell r="A330" t="str">
            <v>0001820807076</v>
          </cell>
          <cell r="B330" t="str">
            <v>0003641870845</v>
          </cell>
          <cell r="C330" t="str">
            <v xml:space="preserve"> RAMADAN ALKAYYIS FASTABIQUL RAHMAN </v>
          </cell>
          <cell r="D330" t="str">
            <v>50655</v>
          </cell>
          <cell r="E330" t="str">
            <v>ANAK</v>
          </cell>
          <cell r="F330">
            <v>0</v>
          </cell>
        </row>
        <row r="331">
          <cell r="A331" t="str">
            <v>0001820807076</v>
          </cell>
          <cell r="B331" t="str">
            <v>0002490288208</v>
          </cell>
          <cell r="C331" t="str">
            <v>YUSRIL FATKHURRAHMAN AL MANSHUR</v>
          </cell>
          <cell r="D331" t="str">
            <v>50655</v>
          </cell>
          <cell r="E331" t="str">
            <v>ANAK</v>
          </cell>
          <cell r="F331">
            <v>0</v>
          </cell>
        </row>
        <row r="332">
          <cell r="A332" t="str">
            <v>0001821409852</v>
          </cell>
          <cell r="B332" t="str">
            <v>0001821409852</v>
          </cell>
          <cell r="C332" t="str">
            <v>WISMA EDHUM KINASIH</v>
          </cell>
          <cell r="D332" t="str">
            <v>50807</v>
          </cell>
          <cell r="E332" t="str">
            <v>PESERTA</v>
          </cell>
          <cell r="F332">
            <v>137507</v>
          </cell>
        </row>
        <row r="333">
          <cell r="A333" t="str">
            <v>0001833832473</v>
          </cell>
          <cell r="B333" t="str">
            <v>0001833832473</v>
          </cell>
          <cell r="C333" t="str">
            <v>ANDREAS INDARTO</v>
          </cell>
          <cell r="D333" t="str">
            <v>sc</v>
          </cell>
          <cell r="E333" t="str">
            <v>PESERTA</v>
          </cell>
          <cell r="F333">
            <v>150697</v>
          </cell>
        </row>
        <row r="334">
          <cell r="A334" t="str">
            <v>0001833832473</v>
          </cell>
          <cell r="B334" t="str">
            <v>0001906191606</v>
          </cell>
          <cell r="C334" t="str">
            <v>ANKA WILDA ADISTYA INDARTO</v>
          </cell>
          <cell r="E334" t="str">
            <v>ANAK</v>
          </cell>
          <cell r="F334">
            <v>0</v>
          </cell>
        </row>
        <row r="335">
          <cell r="A335" t="str">
            <v>0001833834745</v>
          </cell>
          <cell r="B335" t="str">
            <v>0001833834745</v>
          </cell>
          <cell r="C335" t="str">
            <v>IKA NURJANAH</v>
          </cell>
          <cell r="D335" t="str">
            <v>ujk</v>
          </cell>
          <cell r="E335" t="str">
            <v>PESERTA</v>
          </cell>
          <cell r="F335">
            <v>141257</v>
          </cell>
        </row>
        <row r="336">
          <cell r="A336" t="str">
            <v>0001840225443</v>
          </cell>
          <cell r="B336" t="str">
            <v>0001840225443</v>
          </cell>
          <cell r="C336" t="str">
            <v>ARIF BIMANTARA</v>
          </cell>
          <cell r="D336" t="str">
            <v>50663</v>
          </cell>
          <cell r="E336" t="str">
            <v>PESERTA</v>
          </cell>
          <cell r="F336">
            <v>137507</v>
          </cell>
        </row>
        <row r="337">
          <cell r="A337" t="str">
            <v>0001846404775</v>
          </cell>
          <cell r="B337" t="str">
            <v>0001846404775</v>
          </cell>
          <cell r="C337" t="str">
            <v>ZUNARSIH</v>
          </cell>
          <cell r="D337" t="str">
            <v>ujk</v>
          </cell>
          <cell r="E337" t="str">
            <v>PESERTA</v>
          </cell>
          <cell r="F337">
            <v>137507</v>
          </cell>
        </row>
        <row r="338">
          <cell r="A338" t="str">
            <v>0001876509955</v>
          </cell>
          <cell r="B338" t="str">
            <v>0001876509955</v>
          </cell>
          <cell r="C338" t="str">
            <v>IKA LINAWATI</v>
          </cell>
          <cell r="D338" t="str">
            <v>50592</v>
          </cell>
          <cell r="E338" t="str">
            <v>PESERTA</v>
          </cell>
          <cell r="F338">
            <v>137557</v>
          </cell>
        </row>
        <row r="339">
          <cell r="A339" t="str">
            <v>0001886759234</v>
          </cell>
          <cell r="B339" t="str">
            <v>0001886759234</v>
          </cell>
          <cell r="C339" t="str">
            <v>YANGKI FAINAL</v>
          </cell>
          <cell r="D339" t="str">
            <v>50690</v>
          </cell>
          <cell r="E339" t="str">
            <v>PESERTA</v>
          </cell>
          <cell r="F339">
            <v>137507</v>
          </cell>
        </row>
        <row r="340">
          <cell r="A340" t="str">
            <v>0001891695058</v>
          </cell>
          <cell r="B340" t="str">
            <v>0001891695058</v>
          </cell>
          <cell r="C340" t="str">
            <v>DWI SETIYANI</v>
          </cell>
          <cell r="D340" t="str">
            <v>50661</v>
          </cell>
          <cell r="E340" t="str">
            <v>PESERTA</v>
          </cell>
          <cell r="F340">
            <v>137507</v>
          </cell>
        </row>
        <row r="341">
          <cell r="A341" t="str">
            <v>0001913714515</v>
          </cell>
          <cell r="B341" t="str">
            <v>0001913714515</v>
          </cell>
          <cell r="C341" t="str">
            <v>JOKO SUSILO</v>
          </cell>
          <cell r="D341" t="str">
            <v>50535</v>
          </cell>
          <cell r="E341" t="str">
            <v>PESERTA</v>
          </cell>
          <cell r="F341">
            <v>137557</v>
          </cell>
        </row>
        <row r="342">
          <cell r="A342" t="str">
            <v>0001913714515</v>
          </cell>
          <cell r="B342" t="str">
            <v>0002446683254</v>
          </cell>
          <cell r="C342" t="str">
            <v>WAHYU MAHANANIK</v>
          </cell>
          <cell r="D342" t="str">
            <v>50535</v>
          </cell>
          <cell r="E342" t="str">
            <v>ISTRI</v>
          </cell>
          <cell r="F342">
            <v>0</v>
          </cell>
        </row>
        <row r="343">
          <cell r="A343" t="str">
            <v>0001913714515</v>
          </cell>
          <cell r="B343" t="str">
            <v>0002446683399</v>
          </cell>
          <cell r="C343" t="str">
            <v>NAUFAL SYAMIL AZZAKY</v>
          </cell>
          <cell r="D343" t="str">
            <v>50535</v>
          </cell>
          <cell r="E343" t="str">
            <v>ANAK</v>
          </cell>
          <cell r="F343">
            <v>0</v>
          </cell>
        </row>
        <row r="344">
          <cell r="A344" t="str">
            <v>0001963689748</v>
          </cell>
          <cell r="B344" t="str">
            <v>0001963689748</v>
          </cell>
          <cell r="C344" t="str">
            <v>DWI SETYAWATI</v>
          </cell>
          <cell r="D344" t="str">
            <v>bc</v>
          </cell>
          <cell r="E344" t="str">
            <v>PESERTA</v>
          </cell>
          <cell r="F344">
            <v>142757</v>
          </cell>
        </row>
        <row r="345">
          <cell r="A345" t="str">
            <v>0001963689748</v>
          </cell>
          <cell r="B345" t="str">
            <v>0003277885206</v>
          </cell>
          <cell r="C345" t="str">
            <v>MUHAMAD AL ARIF</v>
          </cell>
          <cell r="E345" t="str">
            <v>ANAK</v>
          </cell>
          <cell r="F345">
            <v>0</v>
          </cell>
        </row>
        <row r="346">
          <cell r="A346" t="str">
            <v>0001963694441</v>
          </cell>
          <cell r="B346" t="str">
            <v>0001963694441</v>
          </cell>
          <cell r="C346" t="str">
            <v>MARIYANA</v>
          </cell>
          <cell r="D346" t="str">
            <v>50645</v>
          </cell>
          <cell r="E346" t="str">
            <v>PESERTA</v>
          </cell>
          <cell r="F346">
            <v>137507</v>
          </cell>
        </row>
        <row r="347">
          <cell r="A347" t="str">
            <v>0001970450605</v>
          </cell>
          <cell r="B347" t="str">
            <v>0001970450605</v>
          </cell>
          <cell r="C347" t="str">
            <v>SRIYANI</v>
          </cell>
          <cell r="D347" t="str">
            <v>50799</v>
          </cell>
          <cell r="E347" t="str">
            <v>PESERTA</v>
          </cell>
          <cell r="F347">
            <v>137507</v>
          </cell>
        </row>
        <row r="348">
          <cell r="A348" t="str">
            <v>0002052827471</v>
          </cell>
          <cell r="B348" t="str">
            <v>0002052827471</v>
          </cell>
          <cell r="C348" t="str">
            <v>MIFTAHUDIN WAHID</v>
          </cell>
          <cell r="D348" t="str">
            <v>50648</v>
          </cell>
          <cell r="E348" t="str">
            <v>PESERTA</v>
          </cell>
          <cell r="F348">
            <v>137507</v>
          </cell>
        </row>
        <row r="349">
          <cell r="A349" t="str">
            <v>0002061984442</v>
          </cell>
          <cell r="B349" t="str">
            <v>0002061984442</v>
          </cell>
          <cell r="C349" t="str">
            <v>SRI WAHYUNI</v>
          </cell>
          <cell r="D349" t="str">
            <v>50586</v>
          </cell>
          <cell r="E349" t="str">
            <v>PESERTA</v>
          </cell>
          <cell r="F349">
            <v>218500</v>
          </cell>
        </row>
        <row r="350">
          <cell r="A350" t="str">
            <v>0002081383413</v>
          </cell>
          <cell r="B350" t="str">
            <v>0002081383413</v>
          </cell>
          <cell r="C350" t="str">
            <v>RUDI YULIANTO</v>
          </cell>
          <cell r="D350" t="str">
            <v>3023</v>
          </cell>
          <cell r="E350" t="str">
            <v>PESERTA</v>
          </cell>
          <cell r="F350">
            <v>141107</v>
          </cell>
        </row>
        <row r="351">
          <cell r="A351" t="str">
            <v>0002081383413</v>
          </cell>
          <cell r="B351" t="str">
            <v>0003500573624</v>
          </cell>
          <cell r="C351" t="str">
            <v>DAVIN PRADANA YULIANTO</v>
          </cell>
          <cell r="D351" t="str">
            <v>3023</v>
          </cell>
          <cell r="E351" t="str">
            <v>ANAK</v>
          </cell>
          <cell r="F351">
            <v>0</v>
          </cell>
        </row>
        <row r="352">
          <cell r="A352" t="str">
            <v>0002086306648</v>
          </cell>
          <cell r="B352" t="str">
            <v>0002086306648</v>
          </cell>
          <cell r="C352" t="str">
            <v>ENDANG PURNAMA SARI</v>
          </cell>
          <cell r="D352" t="str">
            <v>BC</v>
          </cell>
          <cell r="E352" t="str">
            <v>PESERTA</v>
          </cell>
          <cell r="F352">
            <v>137757</v>
          </cell>
        </row>
        <row r="353">
          <cell r="A353" t="str">
            <v>0002086306648</v>
          </cell>
          <cell r="B353" t="str">
            <v>0002091970181</v>
          </cell>
          <cell r="C353" t="str">
            <v>AGAM ATHALLA NAJMUDIN</v>
          </cell>
          <cell r="E353" t="str">
            <v>ANAK</v>
          </cell>
          <cell r="F353">
            <v>0</v>
          </cell>
        </row>
        <row r="354">
          <cell r="A354" t="str">
            <v>0002086306648</v>
          </cell>
          <cell r="B354" t="str">
            <v>0003254922235</v>
          </cell>
          <cell r="C354" t="str">
            <v>ALEA INARA AZKADINA</v>
          </cell>
          <cell r="E354" t="str">
            <v>ANAK</v>
          </cell>
          <cell r="F354">
            <v>0</v>
          </cell>
        </row>
        <row r="355">
          <cell r="A355" t="str">
            <v>0002086309102</v>
          </cell>
          <cell r="B355" t="str">
            <v>0002086309102</v>
          </cell>
          <cell r="C355" t="str">
            <v>SODIQ ANWAR</v>
          </cell>
          <cell r="D355" t="str">
            <v>50687</v>
          </cell>
          <cell r="E355" t="str">
            <v>PESERTA</v>
          </cell>
          <cell r="F355">
            <v>137507</v>
          </cell>
        </row>
        <row r="356">
          <cell r="A356" t="str">
            <v>0002086309102</v>
          </cell>
          <cell r="B356" t="str">
            <v>0001697946647</v>
          </cell>
          <cell r="C356" t="str">
            <v>HARIYATI</v>
          </cell>
          <cell r="D356" t="str">
            <v>50687</v>
          </cell>
          <cell r="E356" t="str">
            <v>ISTRI</v>
          </cell>
          <cell r="F356">
            <v>0</v>
          </cell>
        </row>
        <row r="357">
          <cell r="A357" t="str">
            <v>0002086309102</v>
          </cell>
          <cell r="B357" t="str">
            <v>0003266669169</v>
          </cell>
          <cell r="C357" t="str">
            <v>ELVAN RAMADAN</v>
          </cell>
          <cell r="D357" t="str">
            <v/>
          </cell>
          <cell r="E357" t="str">
            <v>ANAK</v>
          </cell>
          <cell r="F357">
            <v>0</v>
          </cell>
        </row>
        <row r="358">
          <cell r="A358" t="str">
            <v>0002086309102</v>
          </cell>
          <cell r="B358" t="str">
            <v>0001697946658</v>
          </cell>
          <cell r="C358" t="str">
            <v>DEDI MARSA MAHARDIKA</v>
          </cell>
          <cell r="D358" t="str">
            <v>50687</v>
          </cell>
          <cell r="E358" t="str">
            <v>ANAK</v>
          </cell>
          <cell r="F358">
            <v>0</v>
          </cell>
        </row>
        <row r="359">
          <cell r="A359" t="str">
            <v>0002086309989</v>
          </cell>
          <cell r="B359" t="str">
            <v>0002086309989</v>
          </cell>
          <cell r="C359" t="str">
            <v>BAYU SETIYAWAN</v>
          </cell>
          <cell r="D359" t="str">
            <v>BC</v>
          </cell>
          <cell r="E359" t="str">
            <v>PESERTA</v>
          </cell>
          <cell r="F359">
            <v>140257</v>
          </cell>
        </row>
        <row r="360">
          <cell r="A360" t="str">
            <v>0002086309989</v>
          </cell>
          <cell r="B360" t="str">
            <v>0002749904695</v>
          </cell>
          <cell r="C360" t="str">
            <v>ABIZARD RADEEVA ARFAN</v>
          </cell>
          <cell r="D360" t="str">
            <v>BC</v>
          </cell>
          <cell r="E360" t="str">
            <v>ANAK</v>
          </cell>
          <cell r="F360">
            <v>0</v>
          </cell>
        </row>
        <row r="361">
          <cell r="A361" t="str">
            <v>0002086330138</v>
          </cell>
          <cell r="B361" t="str">
            <v>0002086330138</v>
          </cell>
          <cell r="C361" t="str">
            <v>RONI ADI SUCIPTO</v>
          </cell>
          <cell r="D361" t="str">
            <v>bc</v>
          </cell>
          <cell r="E361" t="str">
            <v>PESERTA</v>
          </cell>
          <cell r="F361">
            <v>142757</v>
          </cell>
        </row>
        <row r="362">
          <cell r="A362" t="str">
            <v>0002086330138</v>
          </cell>
          <cell r="B362" t="str">
            <v>0000640389339</v>
          </cell>
          <cell r="C362" t="str">
            <v>DINA SETIA UTAMI</v>
          </cell>
          <cell r="D362" t="str">
            <v>bc</v>
          </cell>
          <cell r="E362" t="str">
            <v>ISTRI</v>
          </cell>
          <cell r="F362">
            <v>0</v>
          </cell>
        </row>
        <row r="363">
          <cell r="A363" t="str">
            <v>0002086330138</v>
          </cell>
          <cell r="B363" t="str">
            <v>0002440123198</v>
          </cell>
          <cell r="C363" t="str">
            <v>ARSHAKA HAFIDZ SUCIPTO</v>
          </cell>
          <cell r="D363" t="str">
            <v>bc</v>
          </cell>
          <cell r="E363" t="str">
            <v>ANAK</v>
          </cell>
          <cell r="F363">
            <v>0</v>
          </cell>
        </row>
        <row r="364">
          <cell r="A364" t="str">
            <v>0002086330138</v>
          </cell>
          <cell r="B364" t="str">
            <v>0002091974624</v>
          </cell>
          <cell r="C364" t="str">
            <v>SHAKIRA ANINDYA LATHIF SUCIPTO</v>
          </cell>
          <cell r="E364" t="str">
            <v>ANAK</v>
          </cell>
          <cell r="F364">
            <v>0</v>
          </cell>
        </row>
        <row r="365">
          <cell r="A365" t="str">
            <v>0002092831514</v>
          </cell>
          <cell r="B365" t="str">
            <v>0002092831514</v>
          </cell>
          <cell r="C365" t="str">
            <v>MUHAMAD EKO SAPUTRO</v>
          </cell>
          <cell r="D365" t="str">
            <v>bc</v>
          </cell>
          <cell r="E365" t="str">
            <v>PESERTA</v>
          </cell>
          <cell r="F365">
            <v>150697</v>
          </cell>
        </row>
        <row r="366">
          <cell r="A366" t="str">
            <v>0002092831514</v>
          </cell>
          <cell r="B366" t="str">
            <v>0002092834596</v>
          </cell>
          <cell r="C366" t="str">
            <v>OKA</v>
          </cell>
          <cell r="E366" t="str">
            <v>ISTRI</v>
          </cell>
          <cell r="F366">
            <v>0</v>
          </cell>
        </row>
        <row r="367">
          <cell r="A367" t="str">
            <v>0002092831514</v>
          </cell>
          <cell r="B367" t="str">
            <v>0002092834967</v>
          </cell>
          <cell r="C367" t="str">
            <v>AHMAD IBNU HAZAR</v>
          </cell>
          <cell r="E367" t="str">
            <v>ANAK</v>
          </cell>
          <cell r="F367">
            <v>0</v>
          </cell>
        </row>
        <row r="368">
          <cell r="A368" t="str">
            <v>0002092831514</v>
          </cell>
          <cell r="B368" t="str">
            <v>0002092835417</v>
          </cell>
          <cell r="C368" t="str">
            <v>GINA AZKIA QOLBI</v>
          </cell>
          <cell r="E368" t="str">
            <v>ANAK</v>
          </cell>
          <cell r="F368">
            <v>0</v>
          </cell>
        </row>
        <row r="369">
          <cell r="A369" t="str">
            <v>0002092831514</v>
          </cell>
          <cell r="B369" t="str">
            <v>0002092835744</v>
          </cell>
          <cell r="C369" t="str">
            <v>FAHHIM MUTHADOK</v>
          </cell>
          <cell r="E369" t="str">
            <v>ANAK</v>
          </cell>
          <cell r="F369">
            <v>0</v>
          </cell>
        </row>
        <row r="370">
          <cell r="A370" t="str">
            <v>0002094570178</v>
          </cell>
          <cell r="B370" t="str">
            <v>0002094570178</v>
          </cell>
          <cell r="C370" t="str">
            <v>ATON ADI</v>
          </cell>
          <cell r="D370" t="str">
            <v>50590</v>
          </cell>
          <cell r="E370" t="str">
            <v>PESERTA</v>
          </cell>
          <cell r="F370">
            <v>540000</v>
          </cell>
        </row>
        <row r="371">
          <cell r="A371" t="str">
            <v>0002094570178</v>
          </cell>
          <cell r="B371" t="str">
            <v>0002094570538</v>
          </cell>
          <cell r="C371" t="str">
            <v>MARIANA</v>
          </cell>
          <cell r="D371" t="str">
            <v/>
          </cell>
          <cell r="E371" t="str">
            <v>ISTRI</v>
          </cell>
          <cell r="F371">
            <v>0</v>
          </cell>
        </row>
        <row r="372">
          <cell r="A372" t="str">
            <v>0002094766986</v>
          </cell>
          <cell r="B372" t="str">
            <v>0002094766986</v>
          </cell>
          <cell r="C372" t="str">
            <v>ENENG JUMAENAH</v>
          </cell>
          <cell r="D372" t="str">
            <v>50801</v>
          </cell>
          <cell r="E372" t="str">
            <v>PESERTA</v>
          </cell>
          <cell r="F372">
            <v>218500</v>
          </cell>
        </row>
        <row r="373">
          <cell r="A373" t="str">
            <v>0002094766986</v>
          </cell>
          <cell r="B373" t="str">
            <v>0003575139952</v>
          </cell>
          <cell r="C373" t="str">
            <v>THALHAH UBAIDILLAH PRASETYA</v>
          </cell>
          <cell r="D373" t="str">
            <v/>
          </cell>
          <cell r="E373" t="str">
            <v>ANAK</v>
          </cell>
          <cell r="F373">
            <v>0</v>
          </cell>
        </row>
        <row r="374">
          <cell r="A374" t="str">
            <v>0002094766986</v>
          </cell>
          <cell r="B374" t="str">
            <v>0003080398871</v>
          </cell>
          <cell r="C374" t="str">
            <v>BILAL RABAH PRASETYA</v>
          </cell>
          <cell r="D374" t="str">
            <v/>
          </cell>
          <cell r="E374" t="str">
            <v>ANAK</v>
          </cell>
          <cell r="F374">
            <v>0</v>
          </cell>
        </row>
        <row r="375">
          <cell r="A375" t="str">
            <v>0002119975345</v>
          </cell>
          <cell r="B375" t="str">
            <v>0002119975345</v>
          </cell>
          <cell r="C375" t="str">
            <v>CHUROTUL A'YUN</v>
          </cell>
          <cell r="D375" t="str">
            <v>50611</v>
          </cell>
          <cell r="E375" t="str">
            <v>PESERTA</v>
          </cell>
          <cell r="F375">
            <v>137557</v>
          </cell>
        </row>
        <row r="376">
          <cell r="A376" t="str">
            <v>0002128763744</v>
          </cell>
          <cell r="B376" t="str">
            <v>0002128763744</v>
          </cell>
          <cell r="C376" t="str">
            <v>MOHAMAD BAEDOWI</v>
          </cell>
          <cell r="D376" t="str">
            <v>50598</v>
          </cell>
          <cell r="E376" t="str">
            <v>PESERTA</v>
          </cell>
          <cell r="F376">
            <v>137557</v>
          </cell>
        </row>
        <row r="377">
          <cell r="A377" t="str">
            <v>0002128763744</v>
          </cell>
          <cell r="B377" t="str">
            <v>0003635421412</v>
          </cell>
          <cell r="C377" t="str">
            <v>ASSYAUQI FAHRIL HAFIDZUAN</v>
          </cell>
          <cell r="D377" t="str">
            <v/>
          </cell>
          <cell r="E377" t="str">
            <v>ANAK</v>
          </cell>
          <cell r="F377">
            <v>0</v>
          </cell>
        </row>
        <row r="378">
          <cell r="A378" t="str">
            <v>0002165641053</v>
          </cell>
          <cell r="B378" t="str">
            <v>0002165641053</v>
          </cell>
          <cell r="C378" t="str">
            <v>MARETA RINDI ARDANA</v>
          </cell>
          <cell r="D378" t="str">
            <v>50704</v>
          </cell>
          <cell r="E378" t="str">
            <v>PESERTA</v>
          </cell>
          <cell r="F378">
            <v>137507</v>
          </cell>
        </row>
        <row r="379">
          <cell r="A379" t="str">
            <v>0002167244807</v>
          </cell>
          <cell r="B379" t="str">
            <v>0002167244807</v>
          </cell>
          <cell r="C379" t="str">
            <v>EVIANA</v>
          </cell>
          <cell r="D379" t="str">
            <v>50827</v>
          </cell>
          <cell r="E379" t="str">
            <v>PESERTA</v>
          </cell>
          <cell r="F379">
            <v>137507</v>
          </cell>
        </row>
        <row r="380">
          <cell r="A380" t="str">
            <v>0002167244807</v>
          </cell>
          <cell r="B380" t="str">
            <v>0002167244818</v>
          </cell>
          <cell r="C380" t="str">
            <v>CITRA LYVIA LOVIN</v>
          </cell>
          <cell r="D380" t="str">
            <v/>
          </cell>
          <cell r="E380" t="str">
            <v>ANAK</v>
          </cell>
          <cell r="F380">
            <v>0</v>
          </cell>
        </row>
        <row r="381">
          <cell r="A381" t="str">
            <v>0002168053626</v>
          </cell>
          <cell r="B381" t="str">
            <v>0002168053626</v>
          </cell>
          <cell r="C381" t="str">
            <v>EKO SURYO AJI</v>
          </cell>
          <cell r="D381" t="str">
            <v>50029</v>
          </cell>
          <cell r="E381" t="str">
            <v>PESERTA</v>
          </cell>
          <cell r="F381">
            <v>141007</v>
          </cell>
        </row>
        <row r="382">
          <cell r="A382" t="str">
            <v>0002168053626</v>
          </cell>
          <cell r="B382" t="str">
            <v>0001837077028</v>
          </cell>
          <cell r="C382" t="str">
            <v>NURUL FADHILAH</v>
          </cell>
          <cell r="D382" t="str">
            <v/>
          </cell>
          <cell r="E382" t="str">
            <v>ISTRI</v>
          </cell>
          <cell r="F382">
            <v>0</v>
          </cell>
        </row>
        <row r="383">
          <cell r="A383" t="str">
            <v>0002168053626</v>
          </cell>
          <cell r="B383" t="str">
            <v>0003098950997</v>
          </cell>
          <cell r="C383" t="str">
            <v>HAWA RIHADHATUL KINAN</v>
          </cell>
          <cell r="D383" t="str">
            <v/>
          </cell>
          <cell r="E383" t="str">
            <v>ANAK</v>
          </cell>
          <cell r="F383">
            <v>0</v>
          </cell>
        </row>
        <row r="384">
          <cell r="A384" t="str">
            <v>0002168053626</v>
          </cell>
          <cell r="B384" t="str">
            <v>0002168053637</v>
          </cell>
          <cell r="C384" t="str">
            <v>RIFTI AULIA YASMIN</v>
          </cell>
          <cell r="D384" t="str">
            <v/>
          </cell>
          <cell r="E384" t="str">
            <v>ANAK</v>
          </cell>
          <cell r="F384">
            <v>0</v>
          </cell>
        </row>
        <row r="385">
          <cell r="A385" t="str">
            <v>0002199474393</v>
          </cell>
          <cell r="B385" t="str">
            <v>0002199474393</v>
          </cell>
          <cell r="C385" t="str">
            <v>CICI SRIYANTI</v>
          </cell>
          <cell r="D385" t="str">
            <v>50699</v>
          </cell>
          <cell r="E385" t="str">
            <v>PESERTA</v>
          </cell>
          <cell r="F385">
            <v>137507</v>
          </cell>
        </row>
        <row r="386">
          <cell r="A386" t="str">
            <v>0002199474393</v>
          </cell>
          <cell r="B386" t="str">
            <v>0003194289055</v>
          </cell>
          <cell r="C386" t="str">
            <v>FARIZ ILHAM PUTRA RAMADHAN</v>
          </cell>
          <cell r="D386" t="str">
            <v>50699</v>
          </cell>
          <cell r="E386" t="str">
            <v>ANAK</v>
          </cell>
          <cell r="F386">
            <v>0</v>
          </cell>
        </row>
        <row r="387">
          <cell r="A387" t="str">
            <v>0002210886178</v>
          </cell>
          <cell r="B387" t="str">
            <v>0002210886178</v>
          </cell>
          <cell r="C387" t="str">
            <v>WARIYO</v>
          </cell>
          <cell r="D387" t="str">
            <v>014</v>
          </cell>
          <cell r="E387" t="str">
            <v>PESERTA</v>
          </cell>
          <cell r="F387">
            <v>141257</v>
          </cell>
        </row>
        <row r="388">
          <cell r="A388" t="str">
            <v>0002210886178</v>
          </cell>
          <cell r="B388" t="str">
            <v>0002765493371</v>
          </cell>
          <cell r="C388" t="str">
            <v>SITI QOMARIYAH</v>
          </cell>
          <cell r="D388" t="str">
            <v>014</v>
          </cell>
          <cell r="E388" t="str">
            <v>ISTRI</v>
          </cell>
          <cell r="F388">
            <v>0</v>
          </cell>
        </row>
        <row r="389">
          <cell r="A389" t="str">
            <v>0002219540376</v>
          </cell>
          <cell r="B389" t="str">
            <v>0002219540376</v>
          </cell>
          <cell r="C389" t="str">
            <v>TIA AMELIYANA PUTRI</v>
          </cell>
          <cell r="D389" t="str">
            <v>50746</v>
          </cell>
          <cell r="E389" t="str">
            <v>PESERTA</v>
          </cell>
          <cell r="F389">
            <v>137507</v>
          </cell>
        </row>
        <row r="390">
          <cell r="A390" t="str">
            <v>0002227304711</v>
          </cell>
          <cell r="B390" t="str">
            <v>0002227304711</v>
          </cell>
          <cell r="C390" t="str">
            <v>ADITYA RENDA AFIANTO</v>
          </cell>
          <cell r="D390" t="str">
            <v>50622</v>
          </cell>
          <cell r="E390" t="str">
            <v>PESERTA</v>
          </cell>
          <cell r="F390">
            <v>137507</v>
          </cell>
        </row>
        <row r="391">
          <cell r="A391" t="str">
            <v>0002234106742</v>
          </cell>
          <cell r="B391" t="str">
            <v>0002234106742</v>
          </cell>
          <cell r="C391" t="str">
            <v>DANANG MAHESSA CATUR ANGGORO SAPUTRO</v>
          </cell>
          <cell r="D391" t="str">
            <v>ujk</v>
          </cell>
          <cell r="E391" t="str">
            <v>PESERTA</v>
          </cell>
          <cell r="F391">
            <v>137507</v>
          </cell>
        </row>
        <row r="392">
          <cell r="A392" t="str">
            <v>0002242094804</v>
          </cell>
          <cell r="B392" t="str">
            <v>0002242094804</v>
          </cell>
          <cell r="C392" t="str">
            <v>WIKDARYANTI</v>
          </cell>
          <cell r="D392" t="str">
            <v>50824</v>
          </cell>
          <cell r="E392" t="str">
            <v>PESERTA</v>
          </cell>
          <cell r="F392">
            <v>137507</v>
          </cell>
        </row>
        <row r="393">
          <cell r="A393" t="str">
            <v>0002242118891</v>
          </cell>
          <cell r="B393" t="str">
            <v>0002242118891</v>
          </cell>
          <cell r="C393" t="str">
            <v>LEGIMAN ANDI PRIONO</v>
          </cell>
          <cell r="D393" t="str">
            <v>ujk</v>
          </cell>
          <cell r="E393" t="str">
            <v>PESERTA</v>
          </cell>
          <cell r="F393">
            <v>137507</v>
          </cell>
        </row>
        <row r="394">
          <cell r="A394" t="str">
            <v>0002242118891</v>
          </cell>
          <cell r="B394" t="str">
            <v>0003615118345</v>
          </cell>
          <cell r="C394" t="str">
            <v>ZHAFIRA NAURA PUTRI</v>
          </cell>
          <cell r="D394" t="str">
            <v/>
          </cell>
          <cell r="E394" t="str">
            <v>ANAK</v>
          </cell>
          <cell r="F394">
            <v>0</v>
          </cell>
        </row>
        <row r="395">
          <cell r="A395" t="str">
            <v>0002242118891</v>
          </cell>
          <cell r="B395" t="str">
            <v>0002916663917</v>
          </cell>
          <cell r="C395" t="str">
            <v>ASYIFA BALQIS AL FARIZKY</v>
          </cell>
          <cell r="D395" t="str">
            <v/>
          </cell>
          <cell r="E395" t="str">
            <v>ANAK</v>
          </cell>
          <cell r="F395">
            <v>0</v>
          </cell>
        </row>
        <row r="396">
          <cell r="A396" t="str">
            <v>0002245409785</v>
          </cell>
          <cell r="B396" t="str">
            <v>0002245409785</v>
          </cell>
          <cell r="C396" t="str">
            <v>AMBARWATI</v>
          </cell>
          <cell r="D396" t="str">
            <v>ujk</v>
          </cell>
          <cell r="E396" t="str">
            <v>PESERTA</v>
          </cell>
          <cell r="F396">
            <v>137507</v>
          </cell>
        </row>
        <row r="397">
          <cell r="A397" t="str">
            <v>0002245409785</v>
          </cell>
          <cell r="B397" t="str">
            <v>0002245409976</v>
          </cell>
          <cell r="C397" t="str">
            <v>MUCHAMAT ROMADHON</v>
          </cell>
          <cell r="D397" t="str">
            <v/>
          </cell>
          <cell r="E397" t="str">
            <v>SUAMI</v>
          </cell>
          <cell r="F397">
            <v>0</v>
          </cell>
        </row>
        <row r="398">
          <cell r="A398" t="str">
            <v>0002245409785</v>
          </cell>
          <cell r="B398" t="str">
            <v>0002245410145</v>
          </cell>
          <cell r="C398" t="str">
            <v>ELZIDAN CANDRA PUTRA WIBAWA</v>
          </cell>
          <cell r="D398" t="str">
            <v/>
          </cell>
          <cell r="E398" t="str">
            <v>ANAK</v>
          </cell>
          <cell r="F398">
            <v>0</v>
          </cell>
        </row>
        <row r="399">
          <cell r="A399" t="str">
            <v>0002245409785</v>
          </cell>
          <cell r="B399" t="str">
            <v>0002245410191</v>
          </cell>
          <cell r="C399" t="str">
            <v>RIDHO ANANDA PUTRA</v>
          </cell>
          <cell r="D399" t="str">
            <v/>
          </cell>
          <cell r="E399" t="str">
            <v>ANAK</v>
          </cell>
          <cell r="F399">
            <v>0</v>
          </cell>
        </row>
        <row r="400">
          <cell r="A400" t="str">
            <v>0002248770802</v>
          </cell>
          <cell r="B400" t="str">
            <v>0002248770802</v>
          </cell>
          <cell r="C400" t="str">
            <v>NOVI ISTIANI</v>
          </cell>
          <cell r="D400" t="str">
            <v>60333</v>
          </cell>
          <cell r="E400" t="str">
            <v>PESERTA</v>
          </cell>
          <cell r="F400">
            <v>137607</v>
          </cell>
        </row>
        <row r="401">
          <cell r="A401" t="str">
            <v>0002253469061</v>
          </cell>
          <cell r="B401" t="str">
            <v>0002253469061</v>
          </cell>
          <cell r="C401" t="str">
            <v>ANTON SANTOSO</v>
          </cell>
          <cell r="D401" t="str">
            <v>-</v>
          </cell>
          <cell r="E401" t="str">
            <v>PESERTA</v>
          </cell>
          <cell r="F401">
            <v>141257</v>
          </cell>
        </row>
        <row r="402">
          <cell r="A402" t="str">
            <v>0002253469061</v>
          </cell>
          <cell r="B402" t="str">
            <v>0002260143549</v>
          </cell>
          <cell r="C402" t="str">
            <v>ENI WULANDARI</v>
          </cell>
          <cell r="D402" t="str">
            <v>-</v>
          </cell>
          <cell r="E402" t="str">
            <v>ISTRI</v>
          </cell>
          <cell r="F402">
            <v>0</v>
          </cell>
        </row>
        <row r="403">
          <cell r="A403" t="str">
            <v>0002253469061</v>
          </cell>
          <cell r="B403" t="str">
            <v>0003588431758</v>
          </cell>
          <cell r="C403" t="str">
            <v>LAVENIA ANGGRAENI</v>
          </cell>
          <cell r="D403" t="str">
            <v>-</v>
          </cell>
          <cell r="E403" t="str">
            <v>ANAK</v>
          </cell>
          <cell r="F403">
            <v>0</v>
          </cell>
        </row>
        <row r="404">
          <cell r="A404" t="str">
            <v>0002253469757</v>
          </cell>
          <cell r="B404" t="str">
            <v>0002253469757</v>
          </cell>
          <cell r="C404" t="str">
            <v>WISNU DWI PURNOMO</v>
          </cell>
          <cell r="D404" t="str">
            <v>-</v>
          </cell>
          <cell r="E404" t="str">
            <v>PESERTA</v>
          </cell>
          <cell r="F404">
            <v>150697</v>
          </cell>
        </row>
        <row r="405">
          <cell r="A405" t="str">
            <v>0002253469757</v>
          </cell>
          <cell r="B405" t="str">
            <v>0003266667819</v>
          </cell>
          <cell r="C405" t="str">
            <v>HILIANA</v>
          </cell>
          <cell r="D405" t="str">
            <v>-</v>
          </cell>
          <cell r="E405" t="str">
            <v>ISTRI</v>
          </cell>
          <cell r="F405">
            <v>0</v>
          </cell>
        </row>
        <row r="406">
          <cell r="A406" t="str">
            <v>0002253469757</v>
          </cell>
          <cell r="B406" t="str">
            <v>0003593301772</v>
          </cell>
          <cell r="C406" t="str">
            <v>BAYI NYONYA HILIANA</v>
          </cell>
          <cell r="E406" t="str">
            <v>ANAK</v>
          </cell>
          <cell r="F406">
            <v>0</v>
          </cell>
        </row>
        <row r="407">
          <cell r="A407" t="str">
            <v>0002253469757</v>
          </cell>
          <cell r="B407" t="str">
            <v>0003122577922</v>
          </cell>
          <cell r="C407" t="str">
            <v>MUHAMAT PARLAN DWI PURNOMO</v>
          </cell>
          <cell r="D407" t="str">
            <v>-</v>
          </cell>
          <cell r="E407" t="str">
            <v>ANAK</v>
          </cell>
          <cell r="F407">
            <v>0</v>
          </cell>
        </row>
        <row r="408">
          <cell r="A408" t="str">
            <v>0002257330206</v>
          </cell>
          <cell r="B408" t="str">
            <v>0002257330206</v>
          </cell>
          <cell r="C408" t="str">
            <v>MUHAMMAD FAUZI MUSTAQIIM</v>
          </cell>
          <cell r="D408" t="str">
            <v>50547</v>
          </cell>
          <cell r="E408" t="str">
            <v>PESERTA</v>
          </cell>
          <cell r="F408">
            <v>137557</v>
          </cell>
        </row>
        <row r="409">
          <cell r="A409" t="str">
            <v>0002281290851</v>
          </cell>
          <cell r="B409" t="str">
            <v>0002281290851</v>
          </cell>
          <cell r="C409" t="str">
            <v>ANDRI BARRIYANTO</v>
          </cell>
          <cell r="D409" t="str">
            <v>50749</v>
          </cell>
          <cell r="E409" t="str">
            <v>PESERTA</v>
          </cell>
          <cell r="F409">
            <v>137507</v>
          </cell>
        </row>
        <row r="410">
          <cell r="A410" t="str">
            <v>0002336352658</v>
          </cell>
          <cell r="B410" t="str">
            <v>0002336352658</v>
          </cell>
          <cell r="C410" t="str">
            <v>SILVIA INDAH SARI</v>
          </cell>
          <cell r="D410" t="str">
            <v>50747</v>
          </cell>
          <cell r="E410" t="str">
            <v>PESERTA</v>
          </cell>
          <cell r="F410">
            <v>137507</v>
          </cell>
        </row>
        <row r="411">
          <cell r="A411" t="str">
            <v>0002336352658</v>
          </cell>
          <cell r="B411" t="str">
            <v>0003516350354</v>
          </cell>
          <cell r="C411" t="str">
            <v>LUBNA KARIMAH</v>
          </cell>
          <cell r="D411" t="str">
            <v/>
          </cell>
          <cell r="E411" t="str">
            <v>ANAK</v>
          </cell>
          <cell r="F411">
            <v>0</v>
          </cell>
        </row>
        <row r="412">
          <cell r="A412" t="str">
            <v>0002336352658</v>
          </cell>
          <cell r="B412" t="str">
            <v>0003516350422</v>
          </cell>
          <cell r="C412" t="str">
            <v>LABIBAH KARIMAH</v>
          </cell>
          <cell r="D412" t="str">
            <v/>
          </cell>
          <cell r="E412" t="str">
            <v>ANAK</v>
          </cell>
          <cell r="F412">
            <v>0</v>
          </cell>
        </row>
        <row r="413">
          <cell r="A413" t="str">
            <v>0002344524568</v>
          </cell>
          <cell r="B413" t="str">
            <v>0002344524568</v>
          </cell>
          <cell r="C413" t="str">
            <v>ROCHMAT ROMADHAN</v>
          </cell>
          <cell r="D413" t="str">
            <v>50701</v>
          </cell>
          <cell r="E413" t="str">
            <v>PESERTA</v>
          </cell>
          <cell r="F413">
            <v>137507</v>
          </cell>
        </row>
        <row r="414">
          <cell r="A414" t="str">
            <v>0002344524568</v>
          </cell>
          <cell r="B414" t="str">
            <v>0002344524579</v>
          </cell>
          <cell r="C414" t="str">
            <v>BRIAN ANDREA SAPUTRA</v>
          </cell>
          <cell r="D414" t="str">
            <v/>
          </cell>
          <cell r="E414" t="str">
            <v>ANAK</v>
          </cell>
          <cell r="F414">
            <v>0</v>
          </cell>
        </row>
        <row r="415">
          <cell r="A415" t="str">
            <v>0002344524568</v>
          </cell>
          <cell r="B415" t="str">
            <v>0002344524581</v>
          </cell>
          <cell r="C415" t="str">
            <v>AISYAH NUR RAMADHANI</v>
          </cell>
          <cell r="D415" t="str">
            <v/>
          </cell>
          <cell r="E415" t="str">
            <v>ANAK</v>
          </cell>
          <cell r="F415">
            <v>0</v>
          </cell>
        </row>
        <row r="416">
          <cell r="A416" t="str">
            <v>0002347818221</v>
          </cell>
          <cell r="B416" t="str">
            <v>0002347818221</v>
          </cell>
          <cell r="C416" t="str">
            <v>SETIA ROSI ARGANA</v>
          </cell>
          <cell r="D416" t="str">
            <v>50673</v>
          </cell>
          <cell r="E416" t="str">
            <v>PESERTA</v>
          </cell>
          <cell r="F416">
            <v>137507</v>
          </cell>
        </row>
        <row r="417">
          <cell r="A417" t="str">
            <v>0002347818513</v>
          </cell>
          <cell r="B417" t="str">
            <v>0002347818513</v>
          </cell>
          <cell r="C417" t="str">
            <v>YUDHA IKE SANTIKA</v>
          </cell>
          <cell r="D417" t="str">
            <v>50803</v>
          </cell>
          <cell r="E417" t="str">
            <v>PESERTA</v>
          </cell>
          <cell r="F417">
            <v>137507</v>
          </cell>
        </row>
        <row r="418">
          <cell r="A418" t="str">
            <v>0002348924365</v>
          </cell>
          <cell r="B418" t="str">
            <v>0002348924365</v>
          </cell>
          <cell r="C418" t="str">
            <v>FATKHI TIDAR PRAKOSO</v>
          </cell>
          <cell r="D418" t="str">
            <v>50756</v>
          </cell>
          <cell r="E418" t="str">
            <v>PESERTA</v>
          </cell>
          <cell r="F418">
            <v>137507</v>
          </cell>
        </row>
        <row r="419">
          <cell r="A419" t="str">
            <v>0002348935593</v>
          </cell>
          <cell r="B419" t="str">
            <v>0002348935593</v>
          </cell>
          <cell r="C419" t="str">
            <v>YUSEP DWI ANTORO</v>
          </cell>
          <cell r="D419" t="str">
            <v>50620</v>
          </cell>
          <cell r="E419" t="str">
            <v>PESERTA</v>
          </cell>
          <cell r="F419">
            <v>137507</v>
          </cell>
        </row>
        <row r="420">
          <cell r="A420" t="str">
            <v>0002349145258</v>
          </cell>
          <cell r="B420" t="str">
            <v>0002349145258</v>
          </cell>
          <cell r="C420" t="str">
            <v>ANI WITDARI</v>
          </cell>
          <cell r="D420" t="str">
            <v>50667</v>
          </cell>
          <cell r="E420" t="str">
            <v>PESERTA</v>
          </cell>
          <cell r="F420">
            <v>137507</v>
          </cell>
        </row>
        <row r="421">
          <cell r="A421" t="str">
            <v>0002349493435</v>
          </cell>
          <cell r="B421" t="str">
            <v>0002349493435</v>
          </cell>
          <cell r="C421" t="str">
            <v>RIZKI MAULANA</v>
          </cell>
          <cell r="D421" t="str">
            <v>50711</v>
          </cell>
          <cell r="E421" t="str">
            <v>PESERTA</v>
          </cell>
          <cell r="F421">
            <v>137507</v>
          </cell>
        </row>
        <row r="422">
          <cell r="A422" t="str">
            <v>0002422921375</v>
          </cell>
          <cell r="B422" t="str">
            <v>0002422921375</v>
          </cell>
          <cell r="C422" t="str">
            <v>SUPRAPTI</v>
          </cell>
          <cell r="D422" t="str">
            <v>30338</v>
          </cell>
          <cell r="E422" t="str">
            <v>PESERTA</v>
          </cell>
          <cell r="F422">
            <v>141007</v>
          </cell>
        </row>
        <row r="423">
          <cell r="A423" t="str">
            <v>0002422922973</v>
          </cell>
          <cell r="B423" t="str">
            <v>0002422922973</v>
          </cell>
          <cell r="C423" t="str">
            <v>YOHANES PRAYITNO</v>
          </cell>
          <cell r="D423" t="str">
            <v>-</v>
          </cell>
          <cell r="E423" t="str">
            <v>PESERTA</v>
          </cell>
          <cell r="F423">
            <v>137607</v>
          </cell>
        </row>
        <row r="424">
          <cell r="A424" t="str">
            <v>0002422922973</v>
          </cell>
          <cell r="B424" t="str">
            <v>0003611264038</v>
          </cell>
          <cell r="C424" t="str">
            <v>MIKAEL CHRISTALY NOEL PRAPASKA</v>
          </cell>
          <cell r="D424" t="str">
            <v>-</v>
          </cell>
          <cell r="E424" t="str">
            <v>ANAK</v>
          </cell>
          <cell r="F424">
            <v>0</v>
          </cell>
        </row>
        <row r="425">
          <cell r="A425" t="str">
            <v>0002424211086</v>
          </cell>
          <cell r="B425" t="str">
            <v>0002424211086</v>
          </cell>
          <cell r="C425" t="str">
            <v>AGUS SETIAWAN</v>
          </cell>
          <cell r="D425" t="str">
            <v>30137</v>
          </cell>
          <cell r="E425" t="str">
            <v>PESERTA</v>
          </cell>
          <cell r="F425">
            <v>142757</v>
          </cell>
        </row>
        <row r="426">
          <cell r="A426" t="str">
            <v>0002424211086</v>
          </cell>
          <cell r="B426" t="str">
            <v>0002424211233</v>
          </cell>
          <cell r="C426" t="str">
            <v>ALESHA ZAHRA SETIAWAN</v>
          </cell>
          <cell r="D426" t="str">
            <v/>
          </cell>
          <cell r="E426" t="str">
            <v>ANAK</v>
          </cell>
          <cell r="F426">
            <v>0</v>
          </cell>
        </row>
        <row r="427">
          <cell r="A427" t="str">
            <v>0002424211086</v>
          </cell>
          <cell r="B427" t="str">
            <v>0002931775514</v>
          </cell>
          <cell r="C427" t="str">
            <v xml:space="preserve"> ADEEVA ZAHWA SETIAWAN</v>
          </cell>
          <cell r="D427" t="str">
            <v/>
          </cell>
          <cell r="E427" t="str">
            <v>ANAK</v>
          </cell>
          <cell r="F427">
            <v>0</v>
          </cell>
        </row>
        <row r="428">
          <cell r="A428" t="str">
            <v>0002424211413</v>
          </cell>
          <cell r="B428" t="str">
            <v>0002424211413</v>
          </cell>
          <cell r="C428" t="str">
            <v>ALI SAFII MASHUDIANTO</v>
          </cell>
          <cell r="D428" t="str">
            <v>50727</v>
          </cell>
          <cell r="E428" t="str">
            <v>PESERTA</v>
          </cell>
          <cell r="F428">
            <v>137507</v>
          </cell>
        </row>
        <row r="429">
          <cell r="A429" t="str">
            <v>0002432680683</v>
          </cell>
          <cell r="B429" t="str">
            <v>0002432680683</v>
          </cell>
          <cell r="C429" t="str">
            <v>PUTRI WULANSARI</v>
          </cell>
          <cell r="D429" t="str">
            <v>50610</v>
          </cell>
          <cell r="E429" t="str">
            <v>PESERTA</v>
          </cell>
          <cell r="F429">
            <v>137557</v>
          </cell>
        </row>
        <row r="430">
          <cell r="A430" t="str">
            <v>0002438515956</v>
          </cell>
          <cell r="B430" t="str">
            <v>0002438515956</v>
          </cell>
          <cell r="C430" t="str">
            <v>DWI FEBRIANA</v>
          </cell>
          <cell r="D430" t="str">
            <v>50768</v>
          </cell>
          <cell r="E430" t="str">
            <v>PESERTA</v>
          </cell>
          <cell r="F430">
            <v>137507</v>
          </cell>
        </row>
        <row r="431">
          <cell r="A431" t="str">
            <v>0002473178084</v>
          </cell>
          <cell r="B431" t="str">
            <v>0002473178084</v>
          </cell>
          <cell r="C431" t="str">
            <v>KAFABIHI ANDRIAWAN</v>
          </cell>
          <cell r="D431" t="str">
            <v>50676</v>
          </cell>
          <cell r="E431" t="str">
            <v>PESERTA</v>
          </cell>
          <cell r="F431">
            <v>137507</v>
          </cell>
        </row>
        <row r="432">
          <cell r="A432" t="str">
            <v>0002486244464</v>
          </cell>
          <cell r="B432" t="str">
            <v>0002486244464</v>
          </cell>
          <cell r="C432" t="str">
            <v>EKA PUJI LESTARI</v>
          </cell>
          <cell r="D432" t="str">
            <v>bc</v>
          </cell>
          <cell r="E432" t="str">
            <v>PESERTA</v>
          </cell>
          <cell r="F432">
            <v>141257</v>
          </cell>
        </row>
        <row r="433">
          <cell r="A433" t="str">
            <v>0002486247772</v>
          </cell>
          <cell r="B433" t="str">
            <v>0002486247772</v>
          </cell>
          <cell r="C433" t="str">
            <v>RENDY PERDANA KUSUMA</v>
          </cell>
          <cell r="D433" t="str">
            <v>50591</v>
          </cell>
          <cell r="E433" t="str">
            <v>PESERTA</v>
          </cell>
          <cell r="F433">
            <v>137557</v>
          </cell>
        </row>
        <row r="434">
          <cell r="A434" t="str">
            <v>0002486247772</v>
          </cell>
          <cell r="B434" t="str">
            <v>0002880256285</v>
          </cell>
          <cell r="C434" t="str">
            <v>MUHAMMAD AZKA NAYAKA KUSUMA</v>
          </cell>
          <cell r="D434" t="str">
            <v/>
          </cell>
          <cell r="E434" t="str">
            <v>ANAK</v>
          </cell>
          <cell r="F434">
            <v>0</v>
          </cell>
        </row>
        <row r="435">
          <cell r="A435" t="str">
            <v>0002486247772</v>
          </cell>
          <cell r="B435" t="str">
            <v>0002880256149</v>
          </cell>
          <cell r="C435" t="str">
            <v>MUHAMMAD ATHAYA PRADIPA KUSUMA</v>
          </cell>
          <cell r="D435" t="str">
            <v/>
          </cell>
          <cell r="E435" t="str">
            <v>ANAK</v>
          </cell>
          <cell r="F435">
            <v>0</v>
          </cell>
        </row>
        <row r="436">
          <cell r="A436" t="str">
            <v>0002574192879</v>
          </cell>
          <cell r="B436" t="str">
            <v>0002574192879</v>
          </cell>
          <cell r="C436" t="str">
            <v>ADI RESTU NUGROHO</v>
          </cell>
          <cell r="D436" t="str">
            <v>50828</v>
          </cell>
          <cell r="E436" t="str">
            <v>PESERTA</v>
          </cell>
          <cell r="F436">
            <v>137507</v>
          </cell>
        </row>
        <row r="437">
          <cell r="A437" t="str">
            <v>0002578485903</v>
          </cell>
          <cell r="B437" t="str">
            <v>0002578485903</v>
          </cell>
          <cell r="C437" t="str">
            <v>MOCHAMMAD ERLANGGA ADI SAPUTRA</v>
          </cell>
          <cell r="D437" t="str">
            <v>50785</v>
          </cell>
          <cell r="E437" t="str">
            <v>PESERTA</v>
          </cell>
          <cell r="F437">
            <v>137507</v>
          </cell>
        </row>
        <row r="438">
          <cell r="A438" t="str">
            <v>0002580080084</v>
          </cell>
          <cell r="B438" t="str">
            <v>0002580080084</v>
          </cell>
          <cell r="C438" t="str">
            <v>NOGIX PRASTIKASARI</v>
          </cell>
          <cell r="D438" t="str">
            <v>50642</v>
          </cell>
          <cell r="E438" t="str">
            <v>PESERTA</v>
          </cell>
          <cell r="F438">
            <v>137507</v>
          </cell>
        </row>
        <row r="439">
          <cell r="A439" t="str">
            <v>0002580080106</v>
          </cell>
          <cell r="B439" t="str">
            <v>0002580080106</v>
          </cell>
          <cell r="C439" t="str">
            <v>ROKHIM SETIYADI</v>
          </cell>
          <cell r="D439" t="str">
            <v>50643</v>
          </cell>
          <cell r="E439" t="str">
            <v>PESERTA</v>
          </cell>
          <cell r="F439">
            <v>137507</v>
          </cell>
        </row>
        <row r="440">
          <cell r="A440" t="str">
            <v>0002580080106</v>
          </cell>
          <cell r="B440" t="str">
            <v>0003424425221</v>
          </cell>
          <cell r="C440" t="str">
            <v>SALSHABILLA AYU HANIFAH</v>
          </cell>
          <cell r="D440" t="str">
            <v>50643</v>
          </cell>
          <cell r="E440" t="str">
            <v>ANAK</v>
          </cell>
          <cell r="F440">
            <v>0</v>
          </cell>
        </row>
        <row r="441">
          <cell r="A441" t="str">
            <v>0002580080793</v>
          </cell>
          <cell r="B441" t="str">
            <v>0002580080793</v>
          </cell>
          <cell r="C441" t="str">
            <v>FAIZAL EKA PRABOWO</v>
          </cell>
          <cell r="D441" t="str">
            <v>50601</v>
          </cell>
          <cell r="E441" t="str">
            <v>PESERTA</v>
          </cell>
          <cell r="F441">
            <v>137557</v>
          </cell>
        </row>
        <row r="442">
          <cell r="A442" t="str">
            <v>0002580080793</v>
          </cell>
          <cell r="B442" t="str">
            <v>0002906004161</v>
          </cell>
          <cell r="C442" t="str">
            <v>ANDRIAN PRADIPTA AMZARI</v>
          </cell>
          <cell r="D442" t="str">
            <v/>
          </cell>
          <cell r="E442" t="str">
            <v>ANAK</v>
          </cell>
          <cell r="F442">
            <v>0</v>
          </cell>
        </row>
        <row r="443">
          <cell r="A443" t="str">
            <v>0002580094844</v>
          </cell>
          <cell r="B443" t="str">
            <v>0002580094844</v>
          </cell>
          <cell r="C443" t="str">
            <v>VICKY FAJAR SUPRIYANI</v>
          </cell>
          <cell r="D443" t="str">
            <v>50508</v>
          </cell>
          <cell r="E443" t="str">
            <v>PESERTA</v>
          </cell>
          <cell r="F443">
            <v>137557</v>
          </cell>
        </row>
        <row r="444">
          <cell r="A444" t="str">
            <v>0002580094844</v>
          </cell>
          <cell r="B444" t="str">
            <v>0003109000026</v>
          </cell>
          <cell r="C444" t="str">
            <v>ZAKIRA VIBI AYLA</v>
          </cell>
          <cell r="D444" t="str">
            <v/>
          </cell>
          <cell r="E444" t="str">
            <v>ANAK</v>
          </cell>
          <cell r="F444">
            <v>0</v>
          </cell>
        </row>
        <row r="445">
          <cell r="A445" t="str">
            <v>0002580094855</v>
          </cell>
          <cell r="B445" t="str">
            <v>0002580094855</v>
          </cell>
          <cell r="C445" t="str">
            <v>TRI TEGUH PAMBUDI</v>
          </cell>
          <cell r="D445" t="str">
            <v>50507</v>
          </cell>
          <cell r="E445" t="str">
            <v>PESERTA</v>
          </cell>
          <cell r="F445">
            <v>137607</v>
          </cell>
        </row>
        <row r="446">
          <cell r="A446" t="str">
            <v>0002581766087</v>
          </cell>
          <cell r="B446" t="str">
            <v>0002581766087</v>
          </cell>
          <cell r="C446" t="str">
            <v>AFRIDA RISKI DEWI</v>
          </cell>
          <cell r="D446" t="str">
            <v>50623</v>
          </cell>
          <cell r="E446" t="str">
            <v>PESERTA</v>
          </cell>
          <cell r="F446">
            <v>137507</v>
          </cell>
        </row>
        <row r="447">
          <cell r="A447" t="str">
            <v>0002582044312</v>
          </cell>
          <cell r="B447" t="str">
            <v>0002582044312</v>
          </cell>
          <cell r="C447" t="str">
            <v>SITI FATIMAH</v>
          </cell>
          <cell r="D447" t="str">
            <v>50734</v>
          </cell>
          <cell r="E447" t="str">
            <v>PESERTA</v>
          </cell>
          <cell r="F447">
            <v>137507</v>
          </cell>
        </row>
        <row r="448">
          <cell r="A448" t="str">
            <v>0002756927812</v>
          </cell>
          <cell r="B448" t="str">
            <v>0002756927812</v>
          </cell>
          <cell r="C448" t="str">
            <v>WISNU BAGAS SAPUTRA</v>
          </cell>
          <cell r="D448" t="str">
            <v>50796</v>
          </cell>
          <cell r="E448" t="str">
            <v>PESERTA</v>
          </cell>
          <cell r="F448">
            <v>137507</v>
          </cell>
        </row>
        <row r="449">
          <cell r="A449" t="str">
            <v>0002761073785</v>
          </cell>
          <cell r="B449" t="str">
            <v>0002761073785</v>
          </cell>
          <cell r="C449" t="str">
            <v>DIAN WAHYU TRIANINGSIH</v>
          </cell>
          <cell r="D449" t="str">
            <v>50677</v>
          </cell>
          <cell r="E449" t="str">
            <v>PESERTA</v>
          </cell>
          <cell r="F449">
            <v>137507</v>
          </cell>
        </row>
        <row r="450">
          <cell r="A450" t="str">
            <v>0002766970653</v>
          </cell>
          <cell r="B450" t="str">
            <v>0002766970653</v>
          </cell>
          <cell r="C450" t="str">
            <v>HERU TEGAR KURNIAWAN</v>
          </cell>
          <cell r="D450" t="str">
            <v>50674</v>
          </cell>
          <cell r="E450" t="str">
            <v>PESERTA</v>
          </cell>
          <cell r="F450">
            <v>137507</v>
          </cell>
        </row>
        <row r="451">
          <cell r="A451" t="str">
            <v>0002767256098</v>
          </cell>
          <cell r="B451" t="str">
            <v>0002767256098</v>
          </cell>
          <cell r="C451" t="str">
            <v>IIS SUGIHARTI</v>
          </cell>
          <cell r="D451" t="str">
            <v>50606</v>
          </cell>
          <cell r="E451" t="str">
            <v>PESERTA</v>
          </cell>
          <cell r="F451">
            <v>137557</v>
          </cell>
        </row>
        <row r="452">
          <cell r="A452" t="str">
            <v>0002779292496</v>
          </cell>
          <cell r="B452" t="str">
            <v>0002779292496</v>
          </cell>
          <cell r="C452" t="str">
            <v>ROBERTUS IMANUEL ALFANDO</v>
          </cell>
          <cell r="D452" t="str">
            <v>50670</v>
          </cell>
          <cell r="E452" t="str">
            <v>PESERTA</v>
          </cell>
          <cell r="F452">
            <v>137507</v>
          </cell>
        </row>
        <row r="453">
          <cell r="A453" t="str">
            <v>0002884551524</v>
          </cell>
          <cell r="B453" t="str">
            <v>0002884551524</v>
          </cell>
          <cell r="C453" t="str">
            <v>JIWO RAIHAN INSYAFANI</v>
          </cell>
          <cell r="D453" t="str">
            <v>50651</v>
          </cell>
          <cell r="E453" t="str">
            <v>PESERTA</v>
          </cell>
          <cell r="F453">
            <v>137507</v>
          </cell>
        </row>
        <row r="454">
          <cell r="A454" t="str">
            <v>0002910734741</v>
          </cell>
          <cell r="B454" t="str">
            <v>0002910734741</v>
          </cell>
          <cell r="C454" t="str">
            <v>MIFTAKHUL DANNISA</v>
          </cell>
          <cell r="D454" t="str">
            <v>50612</v>
          </cell>
          <cell r="E454" t="str">
            <v>PESERTA</v>
          </cell>
          <cell r="F454">
            <v>137557</v>
          </cell>
        </row>
        <row r="455">
          <cell r="A455" t="str">
            <v>0002910734741</v>
          </cell>
          <cell r="B455" t="str">
            <v>0001691259232</v>
          </cell>
          <cell r="C455" t="str">
            <v>LUSIA RETNOSARI</v>
          </cell>
          <cell r="D455" t="str">
            <v/>
          </cell>
          <cell r="E455" t="str">
            <v>ISTRI</v>
          </cell>
          <cell r="F455">
            <v>0</v>
          </cell>
        </row>
        <row r="456">
          <cell r="A456" t="str">
            <v>0002910734741</v>
          </cell>
          <cell r="B456" t="str">
            <v>0003511145902</v>
          </cell>
          <cell r="C456" t="str">
            <v>HANIF RADITYA DANESHA</v>
          </cell>
          <cell r="D456" t="str">
            <v/>
          </cell>
          <cell r="E456" t="str">
            <v>ANAK</v>
          </cell>
          <cell r="F456">
            <v>0</v>
          </cell>
        </row>
        <row r="457">
          <cell r="A457" t="str">
            <v>0002944302952</v>
          </cell>
          <cell r="B457" t="str">
            <v>0002944302952</v>
          </cell>
          <cell r="C457" t="str">
            <v>LAILI LUTFIYAH</v>
          </cell>
          <cell r="D457" t="str">
            <v>50647</v>
          </cell>
          <cell r="E457" t="str">
            <v>PESERTA</v>
          </cell>
          <cell r="F457">
            <v>137507</v>
          </cell>
        </row>
        <row r="458">
          <cell r="A458" t="str">
            <v>0002992380513</v>
          </cell>
          <cell r="B458" t="str">
            <v>0002992380513</v>
          </cell>
          <cell r="C458" t="str">
            <v>RIDWAN IMAM SAPUTRA</v>
          </cell>
          <cell r="D458" t="str">
            <v>50841</v>
          </cell>
          <cell r="E458" t="str">
            <v>PESERTA</v>
          </cell>
          <cell r="F458">
            <v>137507</v>
          </cell>
        </row>
        <row r="459">
          <cell r="A459" t="str">
            <v>0003045985053</v>
          </cell>
          <cell r="B459" t="str">
            <v>0003045985053</v>
          </cell>
          <cell r="C459" t="str">
            <v>ESTY NUR HARTATY HT</v>
          </cell>
          <cell r="D459" t="str">
            <v>50705</v>
          </cell>
          <cell r="E459" t="str">
            <v>PESERTA</v>
          </cell>
          <cell r="F459">
            <v>137507</v>
          </cell>
        </row>
        <row r="460">
          <cell r="A460" t="str">
            <v>0003051768712</v>
          </cell>
          <cell r="B460" t="str">
            <v>0003051768712</v>
          </cell>
          <cell r="C460" t="str">
            <v>GREGORIUS RASTONO KUSUMANDARU</v>
          </cell>
          <cell r="D460" t="str">
            <v>50678</v>
          </cell>
          <cell r="E460" t="str">
            <v>PESERTA</v>
          </cell>
          <cell r="F460">
            <v>137507</v>
          </cell>
        </row>
        <row r="461">
          <cell r="A461" t="str">
            <v>0003125459362</v>
          </cell>
          <cell r="B461" t="str">
            <v>0003125459362</v>
          </cell>
          <cell r="C461" t="str">
            <v>TITIS ULYA DARA ZAHRA</v>
          </cell>
          <cell r="D461" t="str">
            <v>50630</v>
          </cell>
          <cell r="E461" t="str">
            <v>PESERTA</v>
          </cell>
          <cell r="F461">
            <v>137507</v>
          </cell>
        </row>
        <row r="462">
          <cell r="A462" t="str">
            <v>0003142376054</v>
          </cell>
          <cell r="B462" t="str">
            <v>0003142376054</v>
          </cell>
          <cell r="C462" t="str">
            <v>YOYOK PRASETIYO</v>
          </cell>
          <cell r="D462" t="str">
            <v>50671</v>
          </cell>
          <cell r="E462" t="str">
            <v>PESERTA</v>
          </cell>
          <cell r="F462">
            <v>137507</v>
          </cell>
        </row>
        <row r="463">
          <cell r="A463" t="str">
            <v>0003142534004</v>
          </cell>
          <cell r="B463" t="str">
            <v>0003142534004</v>
          </cell>
          <cell r="C463" t="str">
            <v>ROHMIYATI</v>
          </cell>
          <cell r="D463" t="str">
            <v>50802</v>
          </cell>
          <cell r="E463" t="str">
            <v>PESERTA</v>
          </cell>
          <cell r="F463">
            <v>137507</v>
          </cell>
        </row>
        <row r="464">
          <cell r="A464" t="str">
            <v>0003194696643</v>
          </cell>
          <cell r="B464" t="str">
            <v>0003194696643</v>
          </cell>
          <cell r="C464" t="str">
            <v>MUHAMMAD RAFI EFENDI</v>
          </cell>
          <cell r="D464" t="str">
            <v>50836</v>
          </cell>
          <cell r="E464" t="str">
            <v>PESERTA</v>
          </cell>
          <cell r="F464">
            <v>137507</v>
          </cell>
        </row>
        <row r="465">
          <cell r="A465" t="str">
            <v>0003289617641</v>
          </cell>
          <cell r="B465" t="str">
            <v>0003289617641</v>
          </cell>
          <cell r="C465" t="str">
            <v>CHOIRUR UMAM</v>
          </cell>
          <cell r="D465" t="str">
            <v>50838</v>
          </cell>
          <cell r="E465" t="str">
            <v>PESERTA</v>
          </cell>
          <cell r="F465">
            <v>137507</v>
          </cell>
        </row>
        <row r="466">
          <cell r="A466" t="str">
            <v>0003341435556</v>
          </cell>
          <cell r="B466" t="str">
            <v>0003341435556</v>
          </cell>
          <cell r="C466" t="str">
            <v>DINA MUTMAINAH</v>
          </cell>
          <cell r="D466" t="str">
            <v>50625</v>
          </cell>
          <cell r="E466" t="str">
            <v>PESERTA</v>
          </cell>
          <cell r="F466">
            <v>137507</v>
          </cell>
        </row>
        <row r="467">
          <cell r="A467" t="str">
            <v>0003349823229</v>
          </cell>
          <cell r="B467" t="str">
            <v>0003349823229</v>
          </cell>
          <cell r="C467" t="str">
            <v>HARTANTO</v>
          </cell>
          <cell r="D467" t="str">
            <v>50815</v>
          </cell>
          <cell r="E467" t="str">
            <v>PESERTA</v>
          </cell>
          <cell r="F467">
            <v>137507</v>
          </cell>
        </row>
        <row r="468">
          <cell r="A468" t="str">
            <v>0003633543123</v>
          </cell>
          <cell r="B468" t="str">
            <v>0003633543123</v>
          </cell>
          <cell r="C468" t="str">
            <v>YOGA ANDRE SAPUTRA</v>
          </cell>
          <cell r="D468" t="str">
            <v>50825</v>
          </cell>
          <cell r="E468" t="str">
            <v>PESERTA</v>
          </cell>
          <cell r="F468">
            <v>137507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0783-53BC-40CB-B6E5-1B639BF69DB2}">
  <dimension ref="A1:AA272"/>
  <sheetViews>
    <sheetView tabSelected="1" workbookViewId="0">
      <selection activeCell="K11" sqref="K11"/>
    </sheetView>
  </sheetViews>
  <sheetFormatPr defaultRowHeight="15" x14ac:dyDescent="0.25"/>
  <sheetData>
    <row r="1" spans="1:27" s="10" customFormat="1" ht="14.25" customHeight="1" x14ac:dyDescent="0.25">
      <c r="A1" s="1" t="s">
        <v>0</v>
      </c>
      <c r="B1" s="1"/>
      <c r="C1" s="2"/>
      <c r="D1" s="2"/>
      <c r="E1" s="3"/>
      <c r="F1" s="4"/>
      <c r="G1" s="4"/>
      <c r="H1" s="5"/>
      <c r="I1" s="2"/>
      <c r="J1" s="6">
        <v>46166</v>
      </c>
      <c r="K1" s="2"/>
      <c r="L1" s="7">
        <v>3.6999999999999998E-2</v>
      </c>
      <c r="M1" s="7">
        <v>2.3999999999999998E-3</v>
      </c>
      <c r="N1" s="7">
        <v>3.0000000000000001E-3</v>
      </c>
      <c r="O1" s="8"/>
      <c r="P1" s="9">
        <v>0.02</v>
      </c>
      <c r="Q1" s="9">
        <v>0.04</v>
      </c>
      <c r="S1" s="11">
        <v>0.02</v>
      </c>
      <c r="T1" s="9">
        <v>0.01</v>
      </c>
      <c r="U1" s="9">
        <v>0.01</v>
      </c>
      <c r="V1" s="12"/>
      <c r="W1" s="13">
        <f>SUM(L1,M1,N1,S1)</f>
        <v>6.2399999999999997E-2</v>
      </c>
      <c r="X1" s="14">
        <f>SUM(P1,T1)</f>
        <v>0.03</v>
      </c>
      <c r="Y1" s="14"/>
      <c r="Z1" s="12">
        <f>SUM(Q1,U1)</f>
        <v>0.05</v>
      </c>
    </row>
    <row r="2" spans="1:27" s="10" customFormat="1" ht="28.5" customHeight="1" x14ac:dyDescent="0.25">
      <c r="A2" s="16" t="s">
        <v>1</v>
      </c>
      <c r="B2" s="17" t="s">
        <v>2</v>
      </c>
      <c r="C2" s="18" t="s">
        <v>3</v>
      </c>
      <c r="D2" s="18" t="s">
        <v>4</v>
      </c>
      <c r="E2" s="19" t="s">
        <v>5</v>
      </c>
      <c r="F2" s="19" t="s">
        <v>6</v>
      </c>
      <c r="G2" s="19" t="s">
        <v>7</v>
      </c>
      <c r="H2" s="20" t="s">
        <v>8</v>
      </c>
      <c r="I2" s="18" t="s">
        <v>9</v>
      </c>
      <c r="J2" s="18" t="s">
        <v>10</v>
      </c>
      <c r="K2" s="2"/>
      <c r="L2" s="21" t="s">
        <v>11</v>
      </c>
      <c r="M2" s="21"/>
      <c r="N2" s="21"/>
      <c r="O2" s="21"/>
      <c r="P2" s="21"/>
      <c r="Q2" s="21"/>
      <c r="R2" s="22"/>
      <c r="S2" s="23" t="s">
        <v>12</v>
      </c>
      <c r="T2" s="24"/>
      <c r="U2" s="25"/>
      <c r="V2" s="26"/>
      <c r="W2" s="21" t="s">
        <v>13</v>
      </c>
      <c r="X2" s="21"/>
      <c r="Y2" s="21"/>
      <c r="Z2" s="21"/>
    </row>
    <row r="3" spans="1:27" s="10" customFormat="1" ht="33" customHeight="1" x14ac:dyDescent="0.25">
      <c r="A3" s="16"/>
      <c r="B3" s="27"/>
      <c r="C3" s="28"/>
      <c r="D3" s="28"/>
      <c r="E3" s="29"/>
      <c r="F3" s="29"/>
      <c r="G3" s="29"/>
      <c r="H3" s="30"/>
      <c r="I3" s="28"/>
      <c r="J3" s="28"/>
      <c r="K3" s="2"/>
      <c r="L3" s="31" t="s">
        <v>14</v>
      </c>
      <c r="M3" s="31" t="s">
        <v>15</v>
      </c>
      <c r="N3" s="31" t="s">
        <v>16</v>
      </c>
      <c r="O3" s="31" t="s">
        <v>17</v>
      </c>
      <c r="P3" s="31" t="s">
        <v>18</v>
      </c>
      <c r="Q3" s="31" t="s">
        <v>19</v>
      </c>
      <c r="R3" s="32"/>
      <c r="S3" s="31" t="s">
        <v>20</v>
      </c>
      <c r="T3" s="31" t="s">
        <v>18</v>
      </c>
      <c r="U3" s="31" t="s">
        <v>19</v>
      </c>
      <c r="V3" s="33"/>
      <c r="W3" s="31" t="s">
        <v>21</v>
      </c>
      <c r="X3" s="31" t="s">
        <v>22</v>
      </c>
      <c r="Y3" s="31" t="s">
        <v>17</v>
      </c>
      <c r="Z3" s="31" t="s">
        <v>19</v>
      </c>
    </row>
    <row r="4" spans="1:27" s="10" customFormat="1" ht="14.25" customHeight="1" x14ac:dyDescent="0.2">
      <c r="A4" s="34">
        <v>1</v>
      </c>
      <c r="B4" s="35" t="s">
        <v>23</v>
      </c>
      <c r="C4" s="36"/>
      <c r="D4" s="37"/>
      <c r="E4" s="38">
        <v>7300000</v>
      </c>
      <c r="F4" s="39"/>
      <c r="G4" s="39">
        <v>3500000</v>
      </c>
      <c r="H4" s="40">
        <f t="shared" ref="H4" si="0">E4+F4+G4</f>
        <v>10800000</v>
      </c>
      <c r="I4" s="41"/>
      <c r="J4" s="41" t="s">
        <v>24</v>
      </c>
      <c r="K4" s="2"/>
      <c r="L4" s="42">
        <f t="shared" ref="L4" si="1">(E4+F4+G4)*3.7%</f>
        <v>399600.00000000006</v>
      </c>
      <c r="M4" s="42">
        <f t="shared" ref="M4" si="2">((E4+F4+G4)*0.24%)</f>
        <v>25919.999999999996</v>
      </c>
      <c r="N4" s="42">
        <f t="shared" ref="N4" si="3">((E4+F4+G4)*0.3%)</f>
        <v>32400</v>
      </c>
      <c r="O4" s="42">
        <f t="shared" ref="O4" si="4">M4+N4</f>
        <v>58320</v>
      </c>
      <c r="P4" s="42">
        <f t="shared" ref="P4" si="5">(E4+F4+G4)*2%</f>
        <v>216000</v>
      </c>
      <c r="Q4" s="43">
        <f t="shared" ref="Q4" si="6">(E4+F4+G4)*4%</f>
        <v>432000</v>
      </c>
      <c r="S4" s="42">
        <f t="shared" ref="S4" si="7">(E4+F4+G4)*2%</f>
        <v>216000</v>
      </c>
      <c r="T4" s="42"/>
      <c r="U4" s="44">
        <f t="shared" ref="U4" si="8">(E4+F4+G4)*1%</f>
        <v>108000</v>
      </c>
      <c r="V4" s="12"/>
      <c r="W4" s="42">
        <f>SUM(L4,M4,N4,S4)</f>
        <v>673920</v>
      </c>
      <c r="X4" s="42"/>
      <c r="Y4" s="42">
        <f t="shared" ref="Y4" si="9">W5+X5</f>
        <v>0</v>
      </c>
      <c r="Z4" s="42">
        <f>U4+Q4</f>
        <v>540000</v>
      </c>
      <c r="AA4" s="15">
        <f>VLOOKUP(J4,'[1]2025060162053800000001'!A$8:F$468,6,0)-Z4</f>
        <v>0</v>
      </c>
    </row>
    <row r="5" spans="1:27" s="10" customFormat="1" ht="14.25" customHeight="1" x14ac:dyDescent="0.2">
      <c r="A5" s="45"/>
      <c r="B5" s="46"/>
      <c r="C5" s="36"/>
      <c r="D5" s="37"/>
      <c r="E5" s="38"/>
      <c r="F5" s="39"/>
      <c r="G5" s="39"/>
      <c r="H5" s="40"/>
      <c r="I5" s="47"/>
      <c r="J5" s="48"/>
      <c r="K5" s="2"/>
      <c r="L5" s="42"/>
      <c r="M5" s="42"/>
      <c r="N5" s="42"/>
      <c r="O5" s="42"/>
      <c r="P5" s="42"/>
      <c r="Q5" s="43"/>
      <c r="R5" s="49"/>
      <c r="S5" s="50"/>
      <c r="T5" s="50"/>
      <c r="U5" s="44"/>
      <c r="V5" s="33"/>
      <c r="W5" s="42"/>
      <c r="X5" s="50"/>
      <c r="Y5" s="50"/>
      <c r="Z5" s="42"/>
      <c r="AA5" s="15"/>
    </row>
    <row r="6" spans="1:27" s="10" customFormat="1" ht="14.25" customHeight="1" x14ac:dyDescent="0.2">
      <c r="A6" s="45"/>
      <c r="B6" s="51"/>
      <c r="C6" s="36"/>
      <c r="D6" s="37"/>
      <c r="E6" s="38"/>
      <c r="F6" s="39"/>
      <c r="G6" s="39"/>
      <c r="H6" s="40"/>
      <c r="I6" s="47"/>
      <c r="J6" s="48"/>
      <c r="K6" s="2"/>
      <c r="L6" s="42"/>
      <c r="M6" s="42"/>
      <c r="N6" s="42"/>
      <c r="O6" s="42"/>
      <c r="P6" s="42"/>
      <c r="Q6" s="43"/>
      <c r="R6" s="49"/>
      <c r="S6" s="50"/>
      <c r="T6" s="50"/>
      <c r="U6" s="44"/>
      <c r="V6" s="33"/>
      <c r="W6" s="42"/>
      <c r="X6" s="50"/>
      <c r="Y6" s="50"/>
      <c r="Z6" s="42"/>
      <c r="AA6" s="15"/>
    </row>
    <row r="7" spans="1:27" s="10" customFormat="1" ht="14.25" customHeight="1" x14ac:dyDescent="0.2">
      <c r="A7" s="45"/>
      <c r="B7" s="46"/>
      <c r="C7" s="36"/>
      <c r="D7" s="37"/>
      <c r="E7" s="38"/>
      <c r="F7" s="39"/>
      <c r="G7" s="39"/>
      <c r="H7" s="40"/>
      <c r="I7" s="52"/>
      <c r="J7" s="48"/>
      <c r="K7" s="2"/>
      <c r="L7" s="42"/>
      <c r="M7" s="42"/>
      <c r="N7" s="42"/>
      <c r="O7" s="42"/>
      <c r="P7" s="42"/>
      <c r="Q7" s="43"/>
      <c r="R7" s="2"/>
      <c r="S7" s="50"/>
      <c r="T7" s="50"/>
      <c r="U7" s="44"/>
      <c r="V7" s="33"/>
      <c r="W7" s="42"/>
      <c r="X7" s="50"/>
      <c r="Y7" s="50"/>
      <c r="Z7" s="42"/>
      <c r="AA7" s="15"/>
    </row>
    <row r="8" spans="1:27" s="10" customFormat="1" ht="14.25" customHeight="1" x14ac:dyDescent="0.2">
      <c r="A8" s="45"/>
      <c r="B8" s="46"/>
      <c r="C8" s="36"/>
      <c r="D8" s="37"/>
      <c r="E8" s="38"/>
      <c r="F8" s="39"/>
      <c r="G8" s="39"/>
      <c r="H8" s="40"/>
      <c r="I8" s="47"/>
      <c r="J8" s="48"/>
      <c r="K8" s="2"/>
      <c r="L8" s="42"/>
      <c r="M8" s="42"/>
      <c r="N8" s="42"/>
      <c r="O8" s="42"/>
      <c r="P8" s="42"/>
      <c r="Q8" s="43"/>
      <c r="R8" s="2"/>
      <c r="S8" s="50"/>
      <c r="T8" s="50"/>
      <c r="U8" s="44"/>
      <c r="V8" s="33"/>
      <c r="W8" s="42"/>
      <c r="X8" s="50"/>
      <c r="Y8" s="50"/>
      <c r="Z8" s="42"/>
      <c r="AA8" s="15"/>
    </row>
    <row r="9" spans="1:27" s="10" customFormat="1" ht="14.25" customHeight="1" x14ac:dyDescent="0.2">
      <c r="A9" s="45"/>
      <c r="B9" s="46"/>
      <c r="C9" s="36"/>
      <c r="D9" s="37"/>
      <c r="E9" s="38"/>
      <c r="F9" s="39"/>
      <c r="G9" s="39"/>
      <c r="H9" s="40"/>
      <c r="I9" s="52"/>
      <c r="J9" s="48"/>
      <c r="K9" s="2"/>
      <c r="L9" s="42"/>
      <c r="M9" s="42"/>
      <c r="N9" s="42"/>
      <c r="O9" s="42"/>
      <c r="P9" s="42"/>
      <c r="Q9" s="43"/>
      <c r="R9" s="2"/>
      <c r="S9" s="50"/>
      <c r="T9" s="50"/>
      <c r="U9" s="44"/>
      <c r="V9" s="33"/>
      <c r="W9" s="42"/>
      <c r="X9" s="50"/>
      <c r="Y9" s="50"/>
      <c r="Z9" s="42"/>
      <c r="AA9" s="15"/>
    </row>
    <row r="10" spans="1:27" s="10" customFormat="1" ht="14.25" customHeight="1" x14ac:dyDescent="0.2">
      <c r="A10" s="45"/>
      <c r="B10" s="46"/>
      <c r="C10" s="36"/>
      <c r="D10" s="37"/>
      <c r="E10" s="38"/>
      <c r="F10" s="39"/>
      <c r="G10" s="39"/>
      <c r="H10" s="40"/>
      <c r="I10" s="47"/>
      <c r="J10" s="48"/>
      <c r="K10" s="2"/>
      <c r="L10" s="42"/>
      <c r="M10" s="42"/>
      <c r="N10" s="42"/>
      <c r="O10" s="42"/>
      <c r="P10" s="42"/>
      <c r="Q10" s="43"/>
      <c r="R10" s="2"/>
      <c r="S10" s="50"/>
      <c r="T10" s="50"/>
      <c r="U10" s="44"/>
      <c r="V10" s="33"/>
      <c r="W10" s="42"/>
      <c r="X10" s="50"/>
      <c r="Y10" s="50"/>
      <c r="Z10" s="42"/>
      <c r="AA10" s="15"/>
    </row>
    <row r="11" spans="1:27" s="10" customFormat="1" ht="14.25" customHeight="1" x14ac:dyDescent="0.2">
      <c r="A11" s="45"/>
      <c r="B11" s="46"/>
      <c r="C11" s="36"/>
      <c r="D11" s="37"/>
      <c r="E11" s="38"/>
      <c r="F11" s="39"/>
      <c r="G11" s="39"/>
      <c r="H11" s="40"/>
      <c r="I11" s="41"/>
      <c r="J11" s="48"/>
      <c r="K11" s="2"/>
      <c r="L11" s="42"/>
      <c r="M11" s="42"/>
      <c r="N11" s="42"/>
      <c r="O11" s="42"/>
      <c r="P11" s="42"/>
      <c r="Q11" s="43"/>
      <c r="R11" s="49"/>
      <c r="S11" s="50"/>
      <c r="T11" s="50"/>
      <c r="U11" s="44"/>
      <c r="V11" s="33"/>
      <c r="W11" s="42"/>
      <c r="X11" s="50"/>
      <c r="Y11" s="50"/>
      <c r="Z11" s="42"/>
      <c r="AA11" s="15"/>
    </row>
    <row r="12" spans="1:27" s="10" customFormat="1" ht="14.25" customHeight="1" x14ac:dyDescent="0.2">
      <c r="A12" s="45"/>
      <c r="B12" s="53"/>
      <c r="C12" s="54"/>
      <c r="D12" s="37"/>
      <c r="E12" s="38"/>
      <c r="F12" s="39"/>
      <c r="G12" s="39"/>
      <c r="H12" s="40"/>
      <c r="I12" s="48"/>
      <c r="J12" s="48"/>
      <c r="K12" s="2"/>
      <c r="L12" s="42"/>
      <c r="M12" s="42"/>
      <c r="N12" s="42"/>
      <c r="O12" s="42"/>
      <c r="P12" s="42"/>
      <c r="Q12" s="43"/>
      <c r="R12" s="2"/>
      <c r="S12" s="50"/>
      <c r="T12" s="50"/>
      <c r="U12" s="44"/>
      <c r="V12" s="12"/>
      <c r="W12" s="42"/>
      <c r="X12" s="50"/>
      <c r="Y12" s="50"/>
      <c r="Z12" s="42"/>
      <c r="AA12" s="15"/>
    </row>
    <row r="13" spans="1:27" s="10" customFormat="1" ht="14.25" customHeight="1" x14ac:dyDescent="0.2">
      <c r="A13" s="45"/>
      <c r="B13" s="46"/>
      <c r="C13" s="36"/>
      <c r="D13" s="37"/>
      <c r="E13" s="38"/>
      <c r="F13" s="39"/>
      <c r="G13" s="39"/>
      <c r="H13" s="40"/>
      <c r="I13" s="47"/>
      <c r="J13" s="48"/>
      <c r="K13" s="2"/>
      <c r="L13" s="42"/>
      <c r="M13" s="42"/>
      <c r="N13" s="42"/>
      <c r="O13" s="42"/>
      <c r="P13" s="42"/>
      <c r="Q13" s="43"/>
      <c r="R13" s="2"/>
      <c r="S13" s="50"/>
      <c r="T13" s="50"/>
      <c r="U13" s="44"/>
      <c r="V13" s="33"/>
      <c r="W13" s="42"/>
      <c r="X13" s="50"/>
      <c r="Y13" s="50"/>
      <c r="Z13" s="42"/>
      <c r="AA13" s="15"/>
    </row>
    <row r="14" spans="1:27" s="10" customFormat="1" ht="14.25" customHeight="1" x14ac:dyDescent="0.2">
      <c r="A14" s="45"/>
      <c r="B14" s="51"/>
      <c r="C14" s="36"/>
      <c r="D14" s="37"/>
      <c r="E14" s="38"/>
      <c r="F14" s="39"/>
      <c r="G14" s="39"/>
      <c r="H14" s="40"/>
      <c r="I14" s="47"/>
      <c r="J14" s="48"/>
      <c r="K14" s="2"/>
      <c r="L14" s="42"/>
      <c r="M14" s="42"/>
      <c r="N14" s="42"/>
      <c r="O14" s="42"/>
      <c r="P14" s="42"/>
      <c r="Q14" s="43"/>
      <c r="R14" s="2"/>
      <c r="S14" s="50"/>
      <c r="T14" s="50"/>
      <c r="U14" s="44"/>
      <c r="V14" s="33"/>
      <c r="W14" s="42"/>
      <c r="X14" s="50"/>
      <c r="Y14" s="50"/>
      <c r="Z14" s="42"/>
      <c r="AA14" s="15"/>
    </row>
    <row r="15" spans="1:27" s="10" customFormat="1" ht="14.25" customHeight="1" x14ac:dyDescent="0.2">
      <c r="A15" s="45"/>
      <c r="B15" s="51"/>
      <c r="C15" s="36"/>
      <c r="D15" s="37"/>
      <c r="E15" s="38"/>
      <c r="F15" s="39"/>
      <c r="G15" s="39"/>
      <c r="H15" s="40"/>
      <c r="I15" s="47"/>
      <c r="J15" s="48"/>
      <c r="K15" s="2"/>
      <c r="L15" s="42"/>
      <c r="M15" s="42"/>
      <c r="N15" s="42"/>
      <c r="O15" s="42"/>
      <c r="P15" s="42"/>
      <c r="Q15" s="43"/>
      <c r="R15" s="2"/>
      <c r="S15" s="50"/>
      <c r="T15" s="50"/>
      <c r="U15" s="44"/>
      <c r="V15" s="33"/>
      <c r="W15" s="42"/>
      <c r="X15" s="50"/>
      <c r="Y15" s="50"/>
      <c r="Z15" s="42"/>
      <c r="AA15" s="15"/>
    </row>
    <row r="16" spans="1:27" s="10" customFormat="1" ht="14.25" customHeight="1" x14ac:dyDescent="0.2">
      <c r="A16" s="45"/>
      <c r="B16" s="55"/>
      <c r="C16" s="36"/>
      <c r="D16" s="37"/>
      <c r="E16" s="38"/>
      <c r="F16" s="39"/>
      <c r="G16" s="39"/>
      <c r="H16" s="40"/>
      <c r="I16" s="48"/>
      <c r="J16" s="48"/>
      <c r="K16" s="2"/>
      <c r="L16" s="42"/>
      <c r="M16" s="42"/>
      <c r="N16" s="42"/>
      <c r="O16" s="42"/>
      <c r="P16" s="42"/>
      <c r="Q16" s="43"/>
      <c r="R16" s="2"/>
      <c r="S16" s="50"/>
      <c r="T16" s="50"/>
      <c r="U16" s="44"/>
      <c r="V16" s="12"/>
      <c r="W16" s="42"/>
      <c r="X16" s="50"/>
      <c r="Y16" s="50"/>
      <c r="Z16" s="42"/>
      <c r="AA16" s="15"/>
    </row>
    <row r="17" spans="1:27" s="10" customFormat="1" ht="14.25" customHeight="1" x14ac:dyDescent="0.2">
      <c r="A17" s="45"/>
      <c r="B17" s="53"/>
      <c r="C17" s="54"/>
      <c r="D17" s="37"/>
      <c r="E17" s="38"/>
      <c r="F17" s="39"/>
      <c r="G17" s="39"/>
      <c r="H17" s="40"/>
      <c r="I17" s="48"/>
      <c r="J17" s="48"/>
      <c r="K17" s="2"/>
      <c r="L17" s="42"/>
      <c r="M17" s="42"/>
      <c r="N17" s="42"/>
      <c r="O17" s="42"/>
      <c r="P17" s="42"/>
      <c r="Q17" s="43"/>
      <c r="R17" s="2"/>
      <c r="S17" s="50"/>
      <c r="T17" s="50"/>
      <c r="U17" s="44"/>
      <c r="V17" s="33"/>
      <c r="W17" s="42"/>
      <c r="X17" s="50"/>
      <c r="Y17" s="50"/>
      <c r="Z17" s="42"/>
      <c r="AA17" s="15"/>
    </row>
    <row r="18" spans="1:27" s="10" customFormat="1" ht="14.25" customHeight="1" x14ac:dyDescent="0.2">
      <c r="A18" s="45"/>
      <c r="B18" s="46"/>
      <c r="C18" s="36"/>
      <c r="D18" s="37"/>
      <c r="E18" s="38"/>
      <c r="F18" s="39"/>
      <c r="G18" s="39"/>
      <c r="H18" s="40"/>
      <c r="I18" s="47"/>
      <c r="J18" s="48"/>
      <c r="K18" s="2"/>
      <c r="L18" s="42"/>
      <c r="M18" s="42"/>
      <c r="N18" s="42"/>
      <c r="O18" s="42"/>
      <c r="P18" s="42"/>
      <c r="Q18" s="43"/>
      <c r="R18" s="49"/>
      <c r="S18" s="50"/>
      <c r="T18" s="50"/>
      <c r="U18" s="44"/>
      <c r="V18" s="33"/>
      <c r="W18" s="42"/>
      <c r="X18" s="50"/>
      <c r="Y18" s="50"/>
      <c r="Z18" s="42"/>
      <c r="AA18" s="15"/>
    </row>
    <row r="19" spans="1:27" s="10" customFormat="1" ht="14.25" customHeight="1" x14ac:dyDescent="0.2">
      <c r="A19" s="45"/>
      <c r="B19" s="51"/>
      <c r="C19" s="36"/>
      <c r="D19" s="37"/>
      <c r="E19" s="38"/>
      <c r="F19" s="39"/>
      <c r="G19" s="39"/>
      <c r="H19" s="40"/>
      <c r="I19" s="47"/>
      <c r="J19" s="48"/>
      <c r="K19" s="2"/>
      <c r="L19" s="42"/>
      <c r="M19" s="42"/>
      <c r="N19" s="42"/>
      <c r="O19" s="42"/>
      <c r="P19" s="42"/>
      <c r="Q19" s="43"/>
      <c r="R19" s="49"/>
      <c r="S19" s="50"/>
      <c r="T19" s="50"/>
      <c r="U19" s="44"/>
      <c r="V19" s="33"/>
      <c r="W19" s="42"/>
      <c r="X19" s="50"/>
      <c r="Y19" s="50"/>
      <c r="Z19" s="42"/>
      <c r="AA19" s="15"/>
    </row>
    <row r="20" spans="1:27" s="10" customFormat="1" ht="14.25" customHeight="1" x14ac:dyDescent="0.2">
      <c r="A20" s="45"/>
      <c r="B20" s="56"/>
      <c r="C20" s="36"/>
      <c r="D20" s="37"/>
      <c r="E20" s="38"/>
      <c r="F20" s="39"/>
      <c r="G20" s="39"/>
      <c r="H20" s="40"/>
      <c r="I20" s="41"/>
      <c r="J20" s="48"/>
      <c r="K20" s="2"/>
      <c r="L20" s="42"/>
      <c r="M20" s="42"/>
      <c r="N20" s="42"/>
      <c r="O20" s="42"/>
      <c r="P20" s="42"/>
      <c r="Q20" s="43"/>
      <c r="S20" s="50"/>
      <c r="T20" s="50"/>
      <c r="U20" s="44"/>
      <c r="V20" s="12"/>
      <c r="W20" s="42"/>
      <c r="X20" s="50"/>
      <c r="Y20" s="50"/>
      <c r="Z20" s="42"/>
      <c r="AA20" s="15"/>
    </row>
    <row r="21" spans="1:27" s="10" customFormat="1" ht="14.25" customHeight="1" x14ac:dyDescent="0.2">
      <c r="A21" s="45"/>
      <c r="B21" s="46"/>
      <c r="C21" s="36"/>
      <c r="D21" s="37"/>
      <c r="E21" s="38"/>
      <c r="F21" s="39"/>
      <c r="G21" s="39"/>
      <c r="H21" s="40"/>
      <c r="I21" s="52"/>
      <c r="J21" s="48"/>
      <c r="K21" s="2"/>
      <c r="L21" s="42"/>
      <c r="M21" s="42"/>
      <c r="N21" s="42"/>
      <c r="O21" s="42"/>
      <c r="P21" s="42"/>
      <c r="Q21" s="43"/>
      <c r="R21" s="2"/>
      <c r="S21" s="50"/>
      <c r="T21" s="50"/>
      <c r="U21" s="44"/>
      <c r="V21" s="33"/>
      <c r="W21" s="42"/>
      <c r="X21" s="50"/>
      <c r="Y21" s="50"/>
      <c r="Z21" s="42"/>
      <c r="AA21" s="15"/>
    </row>
    <row r="22" spans="1:27" s="10" customFormat="1" ht="14.25" customHeight="1" x14ac:dyDescent="0.2">
      <c r="A22" s="45"/>
      <c r="B22" s="51"/>
      <c r="C22" s="36"/>
      <c r="D22" s="37"/>
      <c r="E22" s="38"/>
      <c r="F22" s="39"/>
      <c r="G22" s="39"/>
      <c r="H22" s="40"/>
      <c r="I22" s="47"/>
      <c r="J22" s="48"/>
      <c r="K22" s="2"/>
      <c r="L22" s="42"/>
      <c r="M22" s="42"/>
      <c r="N22" s="42"/>
      <c r="O22" s="42"/>
      <c r="P22" s="42"/>
      <c r="Q22" s="43"/>
      <c r="R22" s="49"/>
      <c r="S22" s="50"/>
      <c r="T22" s="50"/>
      <c r="U22" s="44"/>
      <c r="V22" s="33"/>
      <c r="W22" s="42"/>
      <c r="X22" s="50"/>
      <c r="Y22" s="50"/>
      <c r="Z22" s="42"/>
      <c r="AA22" s="15"/>
    </row>
    <row r="23" spans="1:27" s="10" customFormat="1" ht="14.25" customHeight="1" x14ac:dyDescent="0.2">
      <c r="A23" s="45"/>
      <c r="B23" s="51"/>
      <c r="C23" s="36"/>
      <c r="D23" s="37"/>
      <c r="E23" s="38"/>
      <c r="F23" s="39"/>
      <c r="G23" s="39"/>
      <c r="H23" s="40"/>
      <c r="I23" s="47"/>
      <c r="J23" s="48"/>
      <c r="K23" s="2"/>
      <c r="L23" s="42"/>
      <c r="M23" s="42"/>
      <c r="N23" s="42"/>
      <c r="O23" s="42"/>
      <c r="P23" s="42"/>
      <c r="Q23" s="43"/>
      <c r="R23" s="49"/>
      <c r="S23" s="50"/>
      <c r="T23" s="50"/>
      <c r="U23" s="44"/>
      <c r="V23" s="33"/>
      <c r="W23" s="42"/>
      <c r="X23" s="50"/>
      <c r="Y23" s="50"/>
      <c r="Z23" s="42"/>
      <c r="AA23" s="15"/>
    </row>
    <row r="24" spans="1:27" s="10" customFormat="1" ht="14.25" customHeight="1" x14ac:dyDescent="0.2">
      <c r="A24" s="45"/>
      <c r="B24" s="46"/>
      <c r="C24" s="36"/>
      <c r="D24" s="37"/>
      <c r="E24" s="38"/>
      <c r="F24" s="39"/>
      <c r="G24" s="39"/>
      <c r="H24" s="40"/>
      <c r="I24" s="47"/>
      <c r="J24" s="48"/>
      <c r="K24" s="2"/>
      <c r="L24" s="42"/>
      <c r="M24" s="42"/>
      <c r="N24" s="42"/>
      <c r="O24" s="42"/>
      <c r="P24" s="42"/>
      <c r="Q24" s="43"/>
      <c r="R24" s="49"/>
      <c r="S24" s="50"/>
      <c r="T24" s="50"/>
      <c r="U24" s="44"/>
      <c r="V24" s="33"/>
      <c r="W24" s="42"/>
      <c r="X24" s="50"/>
      <c r="Y24" s="50"/>
      <c r="Z24" s="42"/>
      <c r="AA24" s="15"/>
    </row>
    <row r="25" spans="1:27" s="10" customFormat="1" ht="14.25" customHeight="1" x14ac:dyDescent="0.2">
      <c r="A25" s="45"/>
      <c r="B25" s="46"/>
      <c r="C25" s="36"/>
      <c r="D25" s="37"/>
      <c r="E25" s="38"/>
      <c r="F25" s="39"/>
      <c r="G25" s="39"/>
      <c r="H25" s="40"/>
      <c r="I25" s="47"/>
      <c r="J25" s="48"/>
      <c r="K25" s="2"/>
      <c r="L25" s="42"/>
      <c r="M25" s="42"/>
      <c r="N25" s="42"/>
      <c r="O25" s="42"/>
      <c r="P25" s="42"/>
      <c r="Q25" s="43"/>
      <c r="R25" s="49"/>
      <c r="S25" s="50"/>
      <c r="T25" s="50"/>
      <c r="U25" s="44"/>
      <c r="V25" s="33"/>
      <c r="W25" s="42"/>
      <c r="X25" s="50"/>
      <c r="Y25" s="50"/>
      <c r="Z25" s="42"/>
      <c r="AA25" s="15"/>
    </row>
    <row r="26" spans="1:27" s="10" customFormat="1" ht="14.25" customHeight="1" x14ac:dyDescent="0.2">
      <c r="A26" s="45"/>
      <c r="B26" s="46"/>
      <c r="C26" s="36"/>
      <c r="D26" s="37"/>
      <c r="E26" s="38"/>
      <c r="F26" s="39"/>
      <c r="G26" s="39"/>
      <c r="H26" s="40"/>
      <c r="I26" s="52"/>
      <c r="J26" s="48"/>
      <c r="K26" s="2"/>
      <c r="L26" s="42"/>
      <c r="M26" s="42"/>
      <c r="N26" s="42"/>
      <c r="O26" s="42"/>
      <c r="P26" s="42"/>
      <c r="Q26" s="43"/>
      <c r="R26" s="2"/>
      <c r="S26" s="50"/>
      <c r="T26" s="50"/>
      <c r="U26" s="44"/>
      <c r="V26" s="33"/>
      <c r="W26" s="42"/>
      <c r="X26" s="50"/>
      <c r="Y26" s="50"/>
      <c r="Z26" s="42"/>
      <c r="AA26" s="15"/>
    </row>
    <row r="27" spans="1:27" s="10" customFormat="1" ht="14.25" customHeight="1" x14ac:dyDescent="0.2">
      <c r="A27" s="45"/>
      <c r="B27" s="46"/>
      <c r="C27" s="36"/>
      <c r="D27" s="37"/>
      <c r="E27" s="57"/>
      <c r="F27" s="39"/>
      <c r="G27" s="39"/>
      <c r="H27" s="40"/>
      <c r="I27" s="47"/>
      <c r="J27" s="48"/>
      <c r="K27" s="2"/>
      <c r="L27" s="42"/>
      <c r="M27" s="42"/>
      <c r="N27" s="42"/>
      <c r="O27" s="42"/>
      <c r="P27" s="42"/>
      <c r="Q27" s="43"/>
      <c r="R27" s="49"/>
      <c r="S27" s="50"/>
      <c r="T27" s="50"/>
      <c r="U27" s="44"/>
      <c r="V27" s="33"/>
      <c r="W27" s="42"/>
      <c r="X27" s="50"/>
      <c r="Y27" s="50"/>
      <c r="Z27" s="42"/>
      <c r="AA27" s="15"/>
    </row>
    <row r="28" spans="1:27" s="10" customFormat="1" ht="14.25" customHeight="1" thickBot="1" x14ac:dyDescent="0.25">
      <c r="A28" s="45"/>
      <c r="B28" s="58"/>
      <c r="C28" s="59"/>
      <c r="D28" s="60"/>
      <c r="E28" s="38"/>
      <c r="F28" s="61"/>
      <c r="G28" s="61"/>
      <c r="H28" s="62"/>
      <c r="I28" s="63"/>
      <c r="J28" s="64"/>
      <c r="K28" s="65"/>
      <c r="L28" s="66"/>
      <c r="M28" s="66"/>
      <c r="N28" s="66"/>
      <c r="O28" s="66"/>
      <c r="P28" s="66"/>
      <c r="Q28" s="67"/>
      <c r="R28" s="65"/>
      <c r="S28" s="68"/>
      <c r="T28" s="68"/>
      <c r="U28" s="69"/>
      <c r="V28" s="70"/>
      <c r="W28" s="68"/>
      <c r="X28" s="68"/>
      <c r="Y28" s="68"/>
      <c r="Z28" s="66"/>
      <c r="AA28" s="15"/>
    </row>
    <row r="29" spans="1:27" s="81" customFormat="1" ht="14.25" customHeight="1" thickTop="1" x14ac:dyDescent="0.25">
      <c r="A29" s="71"/>
      <c r="B29" s="72" t="s">
        <v>25</v>
      </c>
      <c r="C29" s="73"/>
      <c r="D29" s="73"/>
      <c r="E29" s="74"/>
      <c r="F29" s="75"/>
      <c r="G29" s="75"/>
      <c r="H29" s="76"/>
      <c r="I29" s="73"/>
      <c r="J29" s="73"/>
      <c r="K29" s="77"/>
      <c r="L29" s="78">
        <f t="shared" ref="L29:Q29" si="10">SUM(L4:L28)</f>
        <v>399600.00000000006</v>
      </c>
      <c r="M29" s="78">
        <f t="shared" si="10"/>
        <v>25919.999999999996</v>
      </c>
      <c r="N29" s="78">
        <f t="shared" si="10"/>
        <v>32400</v>
      </c>
      <c r="O29" s="78">
        <f t="shared" si="10"/>
        <v>58320</v>
      </c>
      <c r="P29" s="78">
        <f t="shared" si="10"/>
        <v>216000</v>
      </c>
      <c r="Q29" s="78">
        <f t="shared" si="10"/>
        <v>432000</v>
      </c>
      <c r="R29" s="77"/>
      <c r="S29" s="78">
        <f>SUM(S4:S28)</f>
        <v>216000</v>
      </c>
      <c r="T29" s="78">
        <f>SUM(T4:T28)</f>
        <v>0</v>
      </c>
      <c r="U29" s="78">
        <f>SUM(U4:U28)</f>
        <v>108000</v>
      </c>
      <c r="V29" s="79"/>
      <c r="W29" s="78">
        <f>SUM(W4:W28)</f>
        <v>673920</v>
      </c>
      <c r="X29" s="78">
        <f>SUM(X4:X28)</f>
        <v>0</v>
      </c>
      <c r="Y29" s="78">
        <f>SUM(Y4:Y28)</f>
        <v>0</v>
      </c>
      <c r="Z29" s="80">
        <f>SUM(Z4:Z28)</f>
        <v>540000</v>
      </c>
    </row>
    <row r="30" spans="1:27" s="10" customFormat="1" ht="14.25" customHeight="1" x14ac:dyDescent="0.25">
      <c r="A30" s="82"/>
      <c r="B30" s="83"/>
      <c r="C30" s="84"/>
      <c r="D30" s="84"/>
      <c r="E30" s="85"/>
      <c r="F30" s="86"/>
      <c r="G30" s="86"/>
      <c r="H30" s="87"/>
      <c r="I30" s="84"/>
      <c r="J30" s="84"/>
      <c r="K30" s="2"/>
      <c r="L30" s="88"/>
      <c r="M30" s="88"/>
      <c r="N30" s="88"/>
      <c r="O30" s="88"/>
      <c r="P30" s="88"/>
      <c r="Q30" s="88"/>
      <c r="R30" s="2"/>
      <c r="S30" s="88"/>
      <c r="T30" s="88"/>
      <c r="U30" s="88"/>
      <c r="V30" s="12"/>
      <c r="W30" s="88">
        <f>W29+X29+L29</f>
        <v>1073520</v>
      </c>
      <c r="X30" s="88"/>
      <c r="Y30" s="88"/>
      <c r="Z30" s="88"/>
    </row>
    <row r="31" spans="1:27" s="10" customFormat="1" ht="14.25" customHeight="1" x14ac:dyDescent="0.25">
      <c r="A31" s="82"/>
      <c r="B31" s="83"/>
      <c r="C31" s="84"/>
      <c r="D31" s="84"/>
      <c r="E31" s="85"/>
      <c r="F31" s="86"/>
      <c r="G31" s="86"/>
      <c r="H31" s="87"/>
      <c r="I31" s="84"/>
      <c r="J31" s="84"/>
      <c r="K31" s="2"/>
      <c r="L31" s="88"/>
      <c r="M31" s="88"/>
      <c r="N31" s="88"/>
      <c r="O31" s="88"/>
      <c r="P31" s="88"/>
      <c r="Q31" s="88"/>
      <c r="R31" s="89"/>
      <c r="S31" s="88"/>
      <c r="T31" s="88"/>
      <c r="U31" s="88"/>
      <c r="V31" s="33"/>
      <c r="W31" s="88">
        <v>9073106</v>
      </c>
      <c r="X31" s="88"/>
      <c r="Y31" s="88"/>
      <c r="Z31" s="88"/>
    </row>
    <row r="32" spans="1:27" s="10" customFormat="1" ht="14.25" customHeight="1" x14ac:dyDescent="0.25">
      <c r="A32" s="90" t="s">
        <v>26</v>
      </c>
      <c r="B32" s="90"/>
      <c r="C32" s="84"/>
      <c r="D32" s="84"/>
      <c r="E32" s="85"/>
      <c r="F32" s="86"/>
      <c r="G32" s="86"/>
      <c r="H32" s="87"/>
      <c r="I32" s="84"/>
      <c r="J32" s="84"/>
      <c r="K32" s="2"/>
      <c r="L32" s="88"/>
      <c r="M32" s="88"/>
      <c r="N32" s="88"/>
      <c r="O32" s="88"/>
      <c r="P32" s="88"/>
      <c r="Q32" s="88"/>
      <c r="R32" s="89"/>
      <c r="S32" s="88"/>
      <c r="T32" s="88"/>
      <c r="U32" s="88"/>
      <c r="V32" s="33"/>
      <c r="W32" s="88"/>
      <c r="X32" s="88"/>
      <c r="Y32" s="88"/>
      <c r="Z32" s="88"/>
    </row>
    <row r="33" spans="1:27" s="10" customFormat="1" ht="14.25" customHeight="1" x14ac:dyDescent="0.25">
      <c r="A33" s="91" t="s">
        <v>1</v>
      </c>
      <c r="B33" s="17" t="s">
        <v>2</v>
      </c>
      <c r="C33" s="18" t="s">
        <v>3</v>
      </c>
      <c r="D33" s="18" t="s">
        <v>4</v>
      </c>
      <c r="E33" s="19" t="s">
        <v>5</v>
      </c>
      <c r="F33" s="19" t="s">
        <v>6</v>
      </c>
      <c r="G33" s="19" t="s">
        <v>7</v>
      </c>
      <c r="H33" s="20" t="s">
        <v>8</v>
      </c>
      <c r="I33" s="92" t="s">
        <v>9</v>
      </c>
      <c r="J33" s="92" t="s">
        <v>27</v>
      </c>
      <c r="K33" s="2"/>
      <c r="L33" s="93" t="s">
        <v>28</v>
      </c>
      <c r="M33" s="93"/>
      <c r="N33" s="93"/>
      <c r="O33" s="93"/>
      <c r="P33" s="93"/>
      <c r="Q33" s="93"/>
      <c r="R33" s="94"/>
      <c r="S33" s="95" t="s">
        <v>29</v>
      </c>
      <c r="T33" s="96"/>
      <c r="U33" s="97"/>
      <c r="V33" s="33"/>
      <c r="W33" s="93" t="s">
        <v>13</v>
      </c>
      <c r="X33" s="93"/>
      <c r="Y33" s="93"/>
      <c r="Z33" s="93"/>
    </row>
    <row r="34" spans="1:27" s="10" customFormat="1" ht="29.25" customHeight="1" x14ac:dyDescent="0.25">
      <c r="A34" s="91"/>
      <c r="B34" s="27"/>
      <c r="C34" s="28"/>
      <c r="D34" s="28"/>
      <c r="E34" s="29"/>
      <c r="F34" s="29"/>
      <c r="G34" s="29"/>
      <c r="H34" s="30"/>
      <c r="I34" s="98"/>
      <c r="J34" s="98"/>
      <c r="K34" s="2"/>
      <c r="L34" s="31" t="s">
        <v>30</v>
      </c>
      <c r="M34" s="31" t="s">
        <v>15</v>
      </c>
      <c r="N34" s="31" t="s">
        <v>16</v>
      </c>
      <c r="O34" s="31" t="s">
        <v>17</v>
      </c>
      <c r="P34" s="31" t="s">
        <v>18</v>
      </c>
      <c r="Q34" s="31" t="s">
        <v>19</v>
      </c>
      <c r="R34" s="32"/>
      <c r="S34" s="31" t="s">
        <v>20</v>
      </c>
      <c r="T34" s="31" t="s">
        <v>18</v>
      </c>
      <c r="U34" s="31" t="s">
        <v>19</v>
      </c>
      <c r="V34" s="33"/>
      <c r="W34" s="31" t="s">
        <v>21</v>
      </c>
      <c r="X34" s="31" t="s">
        <v>22</v>
      </c>
      <c r="Y34" s="31" t="s">
        <v>17</v>
      </c>
      <c r="Z34" s="31" t="s">
        <v>19</v>
      </c>
    </row>
    <row r="35" spans="1:27" s="10" customFormat="1" ht="14.25" customHeight="1" x14ac:dyDescent="0.2">
      <c r="A35" s="99"/>
      <c r="B35" s="100"/>
      <c r="C35" s="54"/>
      <c r="D35" s="101"/>
      <c r="E35" s="102"/>
      <c r="F35" s="39"/>
      <c r="G35" s="39"/>
      <c r="H35" s="40"/>
      <c r="I35" s="48"/>
      <c r="J35" s="48"/>
      <c r="K35" s="2"/>
      <c r="L35" s="103"/>
      <c r="M35" s="103"/>
      <c r="N35" s="103"/>
      <c r="O35" s="103"/>
      <c r="P35" s="103"/>
      <c r="Q35" s="104"/>
      <c r="R35" s="2"/>
      <c r="S35" s="42"/>
      <c r="T35" s="42"/>
      <c r="U35" s="44"/>
      <c r="V35" s="12"/>
      <c r="W35" s="42"/>
      <c r="X35" s="42"/>
      <c r="Y35" s="42"/>
      <c r="Z35" s="42"/>
      <c r="AA35" s="15"/>
    </row>
    <row r="36" spans="1:27" s="10" customFormat="1" ht="14.25" customHeight="1" x14ac:dyDescent="0.2">
      <c r="A36" s="99"/>
      <c r="B36" s="105"/>
      <c r="C36" s="54"/>
      <c r="D36" s="101"/>
      <c r="E36" s="38"/>
      <c r="F36" s="39"/>
      <c r="G36" s="39"/>
      <c r="H36" s="40"/>
      <c r="I36" s="48"/>
      <c r="J36" s="48"/>
      <c r="K36" s="2"/>
      <c r="L36" s="106"/>
      <c r="M36" s="106"/>
      <c r="N36" s="106"/>
      <c r="O36" s="103"/>
      <c r="P36" s="106"/>
      <c r="Q36" s="107"/>
      <c r="R36" s="2"/>
      <c r="S36" s="50"/>
      <c r="T36" s="50"/>
      <c r="U36" s="44"/>
      <c r="V36" s="12"/>
      <c r="W36" s="50"/>
      <c r="X36" s="50"/>
      <c r="Y36" s="50"/>
      <c r="Z36" s="50"/>
      <c r="AA36" s="15"/>
    </row>
    <row r="37" spans="1:27" s="10" customFormat="1" ht="14.25" customHeight="1" x14ac:dyDescent="0.2">
      <c r="A37" s="99"/>
      <c r="B37" s="105"/>
      <c r="C37" s="54"/>
      <c r="D37" s="101"/>
      <c r="E37" s="38"/>
      <c r="F37" s="39"/>
      <c r="G37" s="39"/>
      <c r="H37" s="40"/>
      <c r="I37" s="48"/>
      <c r="J37" s="48"/>
      <c r="K37" s="2"/>
      <c r="L37" s="106"/>
      <c r="M37" s="106"/>
      <c r="N37" s="106"/>
      <c r="O37" s="103"/>
      <c r="P37" s="106"/>
      <c r="Q37" s="107"/>
      <c r="R37" s="2"/>
      <c r="S37" s="50"/>
      <c r="T37" s="50"/>
      <c r="U37" s="44"/>
      <c r="V37" s="12"/>
      <c r="W37" s="50"/>
      <c r="X37" s="50"/>
      <c r="Y37" s="50"/>
      <c r="Z37" s="50"/>
      <c r="AA37" s="15"/>
    </row>
    <row r="38" spans="1:27" s="10" customFormat="1" ht="14.25" customHeight="1" x14ac:dyDescent="0.2">
      <c r="A38" s="99"/>
      <c r="B38" s="108"/>
      <c r="C38" s="109"/>
      <c r="D38" s="110"/>
      <c r="E38" s="102"/>
      <c r="F38" s="39"/>
      <c r="G38" s="39"/>
      <c r="H38" s="40"/>
      <c r="I38" s="41"/>
      <c r="J38" s="37"/>
      <c r="K38" s="2"/>
      <c r="L38" s="106"/>
      <c r="M38" s="106"/>
      <c r="N38" s="106"/>
      <c r="O38" s="103"/>
      <c r="P38" s="106"/>
      <c r="Q38" s="107"/>
      <c r="R38" s="2"/>
      <c r="S38" s="50"/>
      <c r="T38" s="50"/>
      <c r="U38" s="44"/>
      <c r="V38" s="12"/>
      <c r="W38" s="50"/>
      <c r="X38" s="50"/>
      <c r="Y38" s="50"/>
      <c r="Z38" s="50"/>
      <c r="AA38" s="15"/>
    </row>
    <row r="39" spans="1:27" s="10" customFormat="1" ht="14.25" customHeight="1" x14ac:dyDescent="0.2">
      <c r="A39" s="99"/>
      <c r="B39" s="108"/>
      <c r="C39" s="109"/>
      <c r="D39" s="110"/>
      <c r="E39" s="102"/>
      <c r="F39" s="39"/>
      <c r="G39" s="39"/>
      <c r="H39" s="40"/>
      <c r="I39" s="41"/>
      <c r="J39" s="37"/>
      <c r="K39" s="2"/>
      <c r="L39" s="106"/>
      <c r="M39" s="106"/>
      <c r="N39" s="106"/>
      <c r="O39" s="103"/>
      <c r="P39" s="106"/>
      <c r="Q39" s="107"/>
      <c r="R39" s="2"/>
      <c r="S39" s="50"/>
      <c r="T39" s="50"/>
      <c r="U39" s="44"/>
      <c r="V39" s="12"/>
      <c r="W39" s="50"/>
      <c r="X39" s="50"/>
      <c r="Y39" s="50"/>
      <c r="Z39" s="50"/>
      <c r="AA39" s="15"/>
    </row>
    <row r="40" spans="1:27" s="10" customFormat="1" ht="14.25" customHeight="1" x14ac:dyDescent="0.2">
      <c r="A40" s="99"/>
      <c r="B40" s="108"/>
      <c r="C40" s="109"/>
      <c r="D40" s="110"/>
      <c r="E40" s="102"/>
      <c r="F40" s="39"/>
      <c r="G40" s="39"/>
      <c r="H40" s="40"/>
      <c r="I40" s="41"/>
      <c r="J40" s="37"/>
      <c r="K40" s="2"/>
      <c r="L40" s="106"/>
      <c r="M40" s="106"/>
      <c r="N40" s="106"/>
      <c r="O40" s="103"/>
      <c r="P40" s="106"/>
      <c r="Q40" s="107"/>
      <c r="R40" s="2"/>
      <c r="S40" s="50"/>
      <c r="T40" s="50"/>
      <c r="U40" s="44"/>
      <c r="V40" s="12"/>
      <c r="W40" s="50"/>
      <c r="X40" s="50"/>
      <c r="Y40" s="50"/>
      <c r="Z40" s="50"/>
      <c r="AA40" s="15"/>
    </row>
    <row r="41" spans="1:27" s="10" customFormat="1" ht="14.25" customHeight="1" x14ac:dyDescent="0.2">
      <c r="A41" s="99"/>
      <c r="B41" s="108"/>
      <c r="C41" s="109"/>
      <c r="D41" s="110"/>
      <c r="E41" s="38"/>
      <c r="F41" s="39"/>
      <c r="G41" s="39"/>
      <c r="H41" s="40"/>
      <c r="I41" s="41"/>
      <c r="J41" s="37"/>
      <c r="K41" s="2"/>
      <c r="L41" s="106"/>
      <c r="M41" s="106"/>
      <c r="N41" s="106"/>
      <c r="O41" s="103"/>
      <c r="P41" s="106"/>
      <c r="Q41" s="107"/>
      <c r="R41" s="2"/>
      <c r="S41" s="50"/>
      <c r="T41" s="50"/>
      <c r="U41" s="44"/>
      <c r="V41" s="12"/>
      <c r="W41" s="50"/>
      <c r="X41" s="50"/>
      <c r="Y41" s="50"/>
      <c r="Z41" s="50"/>
      <c r="AA41" s="15"/>
    </row>
    <row r="42" spans="1:27" s="10" customFormat="1" ht="14.25" customHeight="1" x14ac:dyDescent="0.2">
      <c r="A42" s="99"/>
      <c r="B42" s="108"/>
      <c r="C42" s="109"/>
      <c r="D42" s="110"/>
      <c r="E42" s="102"/>
      <c r="F42" s="39"/>
      <c r="G42" s="39"/>
      <c r="H42" s="40"/>
      <c r="I42" s="41"/>
      <c r="J42" s="37"/>
      <c r="K42" s="2"/>
      <c r="L42" s="106"/>
      <c r="M42" s="106"/>
      <c r="N42" s="106"/>
      <c r="O42" s="103"/>
      <c r="P42" s="106"/>
      <c r="Q42" s="107"/>
      <c r="R42" s="2"/>
      <c r="S42" s="50"/>
      <c r="T42" s="50"/>
      <c r="U42" s="44"/>
      <c r="V42" s="12"/>
      <c r="W42" s="50"/>
      <c r="X42" s="50"/>
      <c r="Y42" s="50"/>
      <c r="Z42" s="50"/>
      <c r="AA42" s="15"/>
    </row>
    <row r="43" spans="1:27" s="10" customFormat="1" ht="14.25" customHeight="1" x14ac:dyDescent="0.2">
      <c r="A43" s="99"/>
      <c r="B43" s="111"/>
      <c r="C43" s="109"/>
      <c r="D43" s="110"/>
      <c r="E43" s="38"/>
      <c r="F43" s="39"/>
      <c r="G43" s="39"/>
      <c r="H43" s="40"/>
      <c r="I43" s="41"/>
      <c r="J43" s="37"/>
      <c r="K43" s="112"/>
      <c r="L43" s="113"/>
      <c r="M43" s="113"/>
      <c r="N43" s="113"/>
      <c r="O43" s="114"/>
      <c r="P43" s="115"/>
      <c r="Q43" s="116"/>
      <c r="R43" s="112"/>
      <c r="S43" s="117"/>
      <c r="T43" s="118"/>
      <c r="U43" s="114"/>
      <c r="V43" s="119"/>
      <c r="W43" s="120"/>
      <c r="X43" s="120"/>
      <c r="Y43" s="120"/>
      <c r="Z43" s="120"/>
      <c r="AA43" s="15"/>
    </row>
    <row r="44" spans="1:27" s="10" customFormat="1" ht="14.25" customHeight="1" x14ac:dyDescent="0.2">
      <c r="A44" s="99"/>
      <c r="B44" s="111"/>
      <c r="C44" s="109"/>
      <c r="D44" s="110"/>
      <c r="E44" s="38"/>
      <c r="F44" s="39"/>
      <c r="G44" s="39"/>
      <c r="H44" s="40"/>
      <c r="I44" s="41"/>
      <c r="J44" s="37"/>
      <c r="K44" s="112"/>
      <c r="L44" s="113"/>
      <c r="M44" s="113"/>
      <c r="N44" s="113"/>
      <c r="O44" s="114"/>
      <c r="P44" s="115"/>
      <c r="Q44" s="116"/>
      <c r="R44" s="112"/>
      <c r="S44" s="117"/>
      <c r="T44" s="118"/>
      <c r="U44" s="114"/>
      <c r="V44" s="119"/>
      <c r="W44" s="120"/>
      <c r="X44" s="120"/>
      <c r="Y44" s="120"/>
      <c r="Z44" s="120"/>
      <c r="AA44" s="15"/>
    </row>
    <row r="45" spans="1:27" s="10" customFormat="1" ht="14.25" customHeight="1" x14ac:dyDescent="0.2">
      <c r="A45" s="99"/>
      <c r="B45" s="121"/>
      <c r="C45" s="54"/>
      <c r="D45" s="110"/>
      <c r="E45" s="38"/>
      <c r="F45" s="39"/>
      <c r="G45" s="39"/>
      <c r="H45" s="40"/>
      <c r="I45" s="41"/>
      <c r="J45" s="48"/>
      <c r="K45" s="2"/>
      <c r="L45" s="106"/>
      <c r="M45" s="106"/>
      <c r="N45" s="106"/>
      <c r="O45" s="106"/>
      <c r="P45" s="106"/>
      <c r="Q45" s="107"/>
      <c r="R45" s="2"/>
      <c r="S45" s="50"/>
      <c r="T45" s="50"/>
      <c r="U45" s="122"/>
      <c r="V45" s="12"/>
      <c r="W45" s="50"/>
      <c r="X45" s="50"/>
      <c r="Y45" s="50"/>
      <c r="Z45" s="50"/>
      <c r="AA45" s="15"/>
    </row>
    <row r="46" spans="1:27" s="10" customFormat="1" ht="14.25" customHeight="1" x14ac:dyDescent="0.25">
      <c r="A46" s="82"/>
      <c r="B46" s="123" t="s">
        <v>31</v>
      </c>
      <c r="C46" s="84"/>
      <c r="D46" s="84"/>
      <c r="E46" s="85"/>
      <c r="F46" s="86"/>
      <c r="G46" s="86"/>
      <c r="H46" s="87"/>
      <c r="I46" s="84"/>
      <c r="J46" s="84"/>
      <c r="K46" s="2"/>
      <c r="L46" s="78">
        <f>SUM(L35:L45)</f>
        <v>0</v>
      </c>
      <c r="M46" s="78">
        <f t="shared" ref="M46:Q46" si="11">SUM(M35:M45)</f>
        <v>0</v>
      </c>
      <c r="N46" s="78">
        <f t="shared" si="11"/>
        <v>0</v>
      </c>
      <c r="O46" s="78">
        <f t="shared" si="11"/>
        <v>0</v>
      </c>
      <c r="P46" s="78">
        <f t="shared" si="11"/>
        <v>0</v>
      </c>
      <c r="Q46" s="78">
        <f t="shared" si="11"/>
        <v>0</v>
      </c>
      <c r="R46" s="89"/>
      <c r="S46" s="78">
        <f t="shared" ref="S46:U46" si="12">SUM(S35:S45)</f>
        <v>0</v>
      </c>
      <c r="T46" s="78">
        <f t="shared" si="12"/>
        <v>0</v>
      </c>
      <c r="U46" s="78">
        <f t="shared" si="12"/>
        <v>0</v>
      </c>
      <c r="V46" s="33"/>
      <c r="W46" s="124">
        <f t="shared" ref="W46:Z46" si="13">SUM(W35:W45)</f>
        <v>0</v>
      </c>
      <c r="X46" s="124">
        <f t="shared" si="13"/>
        <v>0</v>
      </c>
      <c r="Y46" s="124">
        <f t="shared" si="13"/>
        <v>0</v>
      </c>
      <c r="Z46" s="124">
        <f t="shared" si="13"/>
        <v>0</v>
      </c>
      <c r="AA46" s="15"/>
    </row>
    <row r="47" spans="1:27" s="10" customFormat="1" ht="14.25" customHeight="1" x14ac:dyDescent="0.25">
      <c r="A47" s="2"/>
      <c r="C47" s="2"/>
      <c r="D47" s="2"/>
      <c r="E47" s="3"/>
      <c r="F47" s="4"/>
      <c r="G47" s="4"/>
      <c r="H47" s="5"/>
      <c r="I47" s="2"/>
      <c r="J47" s="2"/>
      <c r="K47" s="2"/>
      <c r="L47" s="12"/>
      <c r="M47" s="12"/>
      <c r="N47" s="12"/>
      <c r="O47" s="12"/>
      <c r="P47" s="12"/>
      <c r="Q47" s="12"/>
      <c r="S47" s="12"/>
      <c r="T47" s="12"/>
      <c r="U47" s="12"/>
      <c r="V47" s="12"/>
      <c r="W47" s="12">
        <f>W46+X46+L46</f>
        <v>0</v>
      </c>
      <c r="X47" s="12"/>
      <c r="Y47" s="12"/>
      <c r="Z47" s="12"/>
    </row>
    <row r="48" spans="1:27" s="10" customFormat="1" ht="14.25" customHeight="1" x14ac:dyDescent="0.25">
      <c r="A48" s="2"/>
      <c r="C48" s="2"/>
      <c r="D48" s="2"/>
      <c r="E48" s="3"/>
      <c r="F48" s="4"/>
      <c r="G48" s="4"/>
      <c r="H48" s="5"/>
      <c r="I48" s="2"/>
      <c r="J48" s="2"/>
      <c r="K48" s="2"/>
      <c r="L48" s="12"/>
      <c r="M48" s="12"/>
      <c r="N48" s="12"/>
      <c r="O48" s="12"/>
      <c r="P48" s="12"/>
      <c r="Q48" s="12"/>
      <c r="S48" s="12"/>
      <c r="T48" s="12"/>
      <c r="U48" s="12"/>
      <c r="V48" s="12"/>
      <c r="W48" s="12"/>
      <c r="X48" s="12"/>
      <c r="Y48" s="12"/>
      <c r="Z48" s="12"/>
    </row>
    <row r="49" spans="1:27" s="10" customFormat="1" ht="14.25" customHeight="1" x14ac:dyDescent="0.25">
      <c r="A49" s="125" t="s">
        <v>32</v>
      </c>
      <c r="B49" s="126"/>
      <c r="C49" s="2"/>
      <c r="D49" s="2"/>
      <c r="E49" s="3"/>
      <c r="F49" s="4"/>
      <c r="G49" s="4"/>
      <c r="H49" s="5"/>
      <c r="I49" s="2"/>
      <c r="J49" s="2"/>
      <c r="K49" s="2"/>
      <c r="L49" s="12"/>
      <c r="M49" s="12"/>
      <c r="N49" s="12"/>
      <c r="O49" s="12"/>
      <c r="P49" s="12"/>
      <c r="Q49" s="12"/>
      <c r="R49" s="12"/>
      <c r="T49" s="12"/>
      <c r="U49" s="12"/>
      <c r="V49" s="12"/>
      <c r="W49" s="33"/>
      <c r="X49" s="12"/>
      <c r="Y49" s="12"/>
      <c r="Z49" s="12"/>
      <c r="AA49" s="12"/>
    </row>
    <row r="50" spans="1:27" s="10" customFormat="1" ht="14.25" customHeight="1" x14ac:dyDescent="0.25">
      <c r="A50" s="91" t="s">
        <v>1</v>
      </c>
      <c r="B50" s="17" t="s">
        <v>2</v>
      </c>
      <c r="C50" s="18" t="s">
        <v>3</v>
      </c>
      <c r="D50" s="18" t="s">
        <v>4</v>
      </c>
      <c r="E50" s="19" t="s">
        <v>5</v>
      </c>
      <c r="F50" s="19" t="s">
        <v>6</v>
      </c>
      <c r="G50" s="19" t="s">
        <v>7</v>
      </c>
      <c r="H50" s="20" t="s">
        <v>8</v>
      </c>
      <c r="I50" s="92" t="s">
        <v>9</v>
      </c>
      <c r="J50" s="92" t="s">
        <v>27</v>
      </c>
      <c r="K50" s="2"/>
      <c r="L50" s="127" t="s">
        <v>28</v>
      </c>
      <c r="M50" s="128"/>
      <c r="N50" s="128"/>
      <c r="O50" s="128"/>
      <c r="P50" s="128"/>
      <c r="Q50" s="129"/>
      <c r="R50" s="130"/>
      <c r="S50" s="95" t="s">
        <v>29</v>
      </c>
      <c r="T50" s="96"/>
      <c r="U50" s="97"/>
      <c r="V50" s="131"/>
      <c r="W50" s="127" t="s">
        <v>13</v>
      </c>
      <c r="X50" s="128"/>
      <c r="Y50" s="128"/>
      <c r="Z50" s="129"/>
      <c r="AA50" s="132"/>
    </row>
    <row r="51" spans="1:27" s="10" customFormat="1" ht="29.25" customHeight="1" x14ac:dyDescent="0.25">
      <c r="A51" s="91"/>
      <c r="B51" s="27"/>
      <c r="C51" s="28"/>
      <c r="D51" s="28"/>
      <c r="E51" s="29"/>
      <c r="F51" s="29"/>
      <c r="G51" s="29"/>
      <c r="H51" s="30"/>
      <c r="I51" s="98"/>
      <c r="J51" s="98"/>
      <c r="K51" s="2"/>
      <c r="L51" s="31" t="s">
        <v>30</v>
      </c>
      <c r="M51" s="31" t="s">
        <v>15</v>
      </c>
      <c r="N51" s="31" t="s">
        <v>16</v>
      </c>
      <c r="O51" s="31" t="s">
        <v>17</v>
      </c>
      <c r="P51" s="31" t="s">
        <v>18</v>
      </c>
      <c r="Q51" s="31" t="s">
        <v>19</v>
      </c>
      <c r="R51" s="32"/>
      <c r="S51" s="31" t="s">
        <v>20</v>
      </c>
      <c r="T51" s="31" t="s">
        <v>18</v>
      </c>
      <c r="U51" s="31" t="s">
        <v>19</v>
      </c>
      <c r="V51" s="131"/>
      <c r="W51" s="31" t="s">
        <v>21</v>
      </c>
      <c r="X51" s="31" t="s">
        <v>22</v>
      </c>
      <c r="Y51" s="31" t="s">
        <v>17</v>
      </c>
      <c r="Z51" s="31" t="s">
        <v>19</v>
      </c>
      <c r="AA51" s="133"/>
    </row>
    <row r="52" spans="1:27" s="10" customFormat="1" ht="14.25" customHeight="1" x14ac:dyDescent="0.2">
      <c r="A52" s="134"/>
      <c r="B52" s="135"/>
      <c r="C52" s="109"/>
      <c r="D52" s="110"/>
      <c r="E52" s="38"/>
      <c r="F52" s="39"/>
      <c r="G52" s="39"/>
      <c r="H52" s="40"/>
      <c r="I52" s="41"/>
      <c r="J52" s="48"/>
      <c r="K52" s="2"/>
      <c r="L52" s="106"/>
      <c r="M52" s="106"/>
      <c r="N52" s="106"/>
      <c r="O52" s="106"/>
      <c r="P52" s="106"/>
      <c r="Q52" s="107"/>
      <c r="R52" s="2"/>
      <c r="S52" s="50"/>
      <c r="T52" s="50"/>
      <c r="U52" s="122"/>
      <c r="V52" s="12"/>
      <c r="W52" s="136"/>
      <c r="X52" s="136"/>
      <c r="Y52" s="136"/>
      <c r="Z52" s="136"/>
      <c r="AA52" s="15"/>
    </row>
    <row r="53" spans="1:27" s="10" customFormat="1" ht="14.25" customHeight="1" x14ac:dyDescent="0.2">
      <c r="A53" s="134"/>
      <c r="B53" s="137"/>
      <c r="C53" s="109"/>
      <c r="D53" s="110"/>
      <c r="E53" s="38"/>
      <c r="F53" s="39"/>
      <c r="G53" s="39"/>
      <c r="H53" s="40"/>
      <c r="I53" s="41"/>
      <c r="J53" s="48"/>
      <c r="K53" s="2"/>
      <c r="L53" s="106"/>
      <c r="M53" s="106"/>
      <c r="N53" s="106"/>
      <c r="O53" s="106"/>
      <c r="P53" s="106"/>
      <c r="Q53" s="107"/>
      <c r="R53" s="2"/>
      <c r="S53" s="50"/>
      <c r="T53" s="50"/>
      <c r="U53" s="122"/>
      <c r="V53" s="12"/>
      <c r="W53" s="136"/>
      <c r="X53" s="136"/>
      <c r="Y53" s="136"/>
      <c r="Z53" s="50"/>
      <c r="AA53" s="15"/>
    </row>
    <row r="54" spans="1:27" s="10" customFormat="1" ht="14.25" customHeight="1" x14ac:dyDescent="0.2">
      <c r="A54" s="134"/>
      <c r="B54" s="135"/>
      <c r="C54" s="109"/>
      <c r="D54" s="110"/>
      <c r="E54" s="38"/>
      <c r="F54" s="39"/>
      <c r="G54" s="39"/>
      <c r="H54" s="40"/>
      <c r="I54" s="41"/>
      <c r="J54" s="48"/>
      <c r="K54" s="2"/>
      <c r="L54" s="106"/>
      <c r="M54" s="106"/>
      <c r="N54" s="106"/>
      <c r="O54" s="106"/>
      <c r="P54" s="106"/>
      <c r="Q54" s="107"/>
      <c r="R54" s="2"/>
      <c r="S54" s="50"/>
      <c r="T54" s="50"/>
      <c r="U54" s="122"/>
      <c r="V54" s="12"/>
      <c r="W54" s="136"/>
      <c r="X54" s="136"/>
      <c r="Y54" s="136"/>
      <c r="Z54" s="50"/>
      <c r="AA54" s="15"/>
    </row>
    <row r="55" spans="1:27" s="10" customFormat="1" ht="14.25" customHeight="1" x14ac:dyDescent="0.2">
      <c r="A55" s="134"/>
      <c r="B55" s="137"/>
      <c r="C55" s="109"/>
      <c r="D55" s="110"/>
      <c r="E55" s="38"/>
      <c r="F55" s="39"/>
      <c r="G55" s="39"/>
      <c r="H55" s="40"/>
      <c r="I55" s="41"/>
      <c r="J55" s="48"/>
      <c r="K55" s="2"/>
      <c r="L55" s="106"/>
      <c r="M55" s="106"/>
      <c r="N55" s="106"/>
      <c r="O55" s="106"/>
      <c r="P55" s="106"/>
      <c r="Q55" s="107"/>
      <c r="R55" s="2"/>
      <c r="S55" s="50"/>
      <c r="T55" s="50"/>
      <c r="U55" s="122"/>
      <c r="V55" s="12"/>
      <c r="W55" s="50"/>
      <c r="X55" s="50"/>
      <c r="Y55" s="50"/>
      <c r="Z55" s="50"/>
      <c r="AA55" s="15"/>
    </row>
    <row r="56" spans="1:27" s="10" customFormat="1" ht="14.25" hidden="1" customHeight="1" x14ac:dyDescent="0.2">
      <c r="A56" s="134"/>
      <c r="B56" s="121"/>
      <c r="C56" s="109"/>
      <c r="D56" s="110"/>
      <c r="E56" s="38"/>
      <c r="F56" s="39"/>
      <c r="G56" s="39"/>
      <c r="H56" s="40"/>
      <c r="I56" s="41"/>
      <c r="J56" s="41"/>
      <c r="K56" s="2"/>
      <c r="L56" s="106"/>
      <c r="M56" s="106"/>
      <c r="N56" s="106"/>
      <c r="O56" s="106"/>
      <c r="P56" s="106"/>
      <c r="Q56" s="107"/>
      <c r="R56" s="2"/>
      <c r="S56" s="50"/>
      <c r="T56" s="50"/>
      <c r="U56" s="122"/>
      <c r="V56" s="12"/>
      <c r="W56" s="50"/>
      <c r="X56" s="50"/>
      <c r="Y56" s="50"/>
      <c r="Z56" s="50"/>
      <c r="AA56" s="15"/>
    </row>
    <row r="57" spans="1:27" s="10" customFormat="1" ht="14.25" hidden="1" customHeight="1" x14ac:dyDescent="0.2">
      <c r="A57" s="134"/>
      <c r="B57" s="135"/>
      <c r="C57" s="109"/>
      <c r="D57" s="110"/>
      <c r="E57" s="38"/>
      <c r="F57" s="39"/>
      <c r="G57" s="39"/>
      <c r="H57" s="40"/>
      <c r="I57" s="48"/>
      <c r="J57" s="48"/>
      <c r="K57" s="2"/>
      <c r="L57" s="106"/>
      <c r="M57" s="106"/>
      <c r="N57" s="106"/>
      <c r="O57" s="106"/>
      <c r="P57" s="106"/>
      <c r="Q57" s="107"/>
      <c r="R57" s="2"/>
      <c r="S57" s="50"/>
      <c r="T57" s="50"/>
      <c r="U57" s="122"/>
      <c r="V57" s="12"/>
      <c r="W57" s="50"/>
      <c r="X57" s="50"/>
      <c r="Y57" s="50"/>
      <c r="Z57" s="50"/>
      <c r="AA57" s="15"/>
    </row>
    <row r="58" spans="1:27" s="10" customFormat="1" ht="14.25" hidden="1" customHeight="1" x14ac:dyDescent="0.2">
      <c r="A58" s="134"/>
      <c r="B58" s="135"/>
      <c r="C58" s="109"/>
      <c r="D58" s="110"/>
      <c r="E58" s="38"/>
      <c r="F58" s="39"/>
      <c r="G58" s="39"/>
      <c r="H58" s="40"/>
      <c r="I58" s="48"/>
      <c r="J58" s="48"/>
      <c r="K58" s="2"/>
      <c r="L58" s="106"/>
      <c r="M58" s="106"/>
      <c r="N58" s="106"/>
      <c r="O58" s="106"/>
      <c r="P58" s="106"/>
      <c r="Q58" s="107"/>
      <c r="R58" s="2"/>
      <c r="S58" s="50"/>
      <c r="T58" s="50"/>
      <c r="U58" s="122"/>
      <c r="V58" s="12"/>
      <c r="W58" s="50"/>
      <c r="X58" s="50"/>
      <c r="Y58" s="50"/>
      <c r="Z58" s="50"/>
      <c r="AA58" s="15"/>
    </row>
    <row r="59" spans="1:27" s="10" customFormat="1" ht="14.25" hidden="1" customHeight="1" x14ac:dyDescent="0.2">
      <c r="A59" s="134"/>
      <c r="B59" s="135"/>
      <c r="C59" s="109"/>
      <c r="D59" s="110"/>
      <c r="E59" s="38"/>
      <c r="F59" s="39"/>
      <c r="G59" s="39"/>
      <c r="H59" s="40"/>
      <c r="I59" s="48"/>
      <c r="J59" s="48"/>
      <c r="K59" s="2"/>
      <c r="L59" s="106"/>
      <c r="M59" s="106"/>
      <c r="N59" s="106"/>
      <c r="O59" s="106"/>
      <c r="P59" s="106"/>
      <c r="Q59" s="107"/>
      <c r="R59" s="2"/>
      <c r="S59" s="50"/>
      <c r="T59" s="50"/>
      <c r="U59" s="122"/>
      <c r="V59" s="12"/>
      <c r="W59" s="50"/>
      <c r="X59" s="50"/>
      <c r="Y59" s="50"/>
      <c r="Z59" s="50"/>
      <c r="AA59" s="15"/>
    </row>
    <row r="60" spans="1:27" s="10" customFormat="1" ht="14.25" hidden="1" customHeight="1" x14ac:dyDescent="0.2">
      <c r="A60" s="134"/>
      <c r="B60" s="137"/>
      <c r="C60" s="109"/>
      <c r="D60" s="110"/>
      <c r="E60" s="38"/>
      <c r="F60" s="39"/>
      <c r="G60" s="39"/>
      <c r="H60" s="40"/>
      <c r="I60" s="48"/>
      <c r="J60" s="48"/>
      <c r="K60" s="2"/>
      <c r="L60" s="106"/>
      <c r="M60" s="106"/>
      <c r="N60" s="106"/>
      <c r="O60" s="106"/>
      <c r="P60" s="106"/>
      <c r="Q60" s="107"/>
      <c r="R60" s="2"/>
      <c r="S60" s="50"/>
      <c r="T60" s="50"/>
      <c r="U60" s="122"/>
      <c r="V60" s="12"/>
      <c r="W60" s="50"/>
      <c r="X60" s="50"/>
      <c r="Y60" s="50"/>
      <c r="Z60" s="50"/>
      <c r="AA60" s="15"/>
    </row>
    <row r="61" spans="1:27" s="10" customFormat="1" ht="14.25" hidden="1" customHeight="1" x14ac:dyDescent="0.2">
      <c r="A61" s="134"/>
      <c r="B61" s="137"/>
      <c r="C61" s="109"/>
      <c r="D61" s="110"/>
      <c r="E61" s="38"/>
      <c r="F61" s="39"/>
      <c r="G61" s="39"/>
      <c r="H61" s="40"/>
      <c r="I61" s="48"/>
      <c r="J61" s="48"/>
      <c r="K61" s="2"/>
      <c r="L61" s="106"/>
      <c r="M61" s="106"/>
      <c r="N61" s="106"/>
      <c r="O61" s="106"/>
      <c r="P61" s="106"/>
      <c r="Q61" s="107"/>
      <c r="R61" s="2"/>
      <c r="S61" s="50"/>
      <c r="T61" s="50"/>
      <c r="U61" s="122"/>
      <c r="V61" s="12"/>
      <c r="W61" s="50"/>
      <c r="X61" s="50"/>
      <c r="Y61" s="50"/>
      <c r="Z61" s="50"/>
      <c r="AA61" s="15"/>
    </row>
    <row r="62" spans="1:27" s="10" customFormat="1" ht="14.25" hidden="1" customHeight="1" x14ac:dyDescent="0.2">
      <c r="A62" s="134"/>
      <c r="B62" s="137"/>
      <c r="C62" s="109"/>
      <c r="D62" s="110"/>
      <c r="E62" s="38"/>
      <c r="F62" s="39"/>
      <c r="G62" s="39"/>
      <c r="H62" s="40"/>
      <c r="I62" s="48"/>
      <c r="J62" s="48"/>
      <c r="K62" s="2"/>
      <c r="L62" s="106"/>
      <c r="M62" s="106"/>
      <c r="N62" s="106"/>
      <c r="O62" s="106"/>
      <c r="P62" s="106"/>
      <c r="Q62" s="107"/>
      <c r="R62" s="2"/>
      <c r="S62" s="50"/>
      <c r="T62" s="50"/>
      <c r="U62" s="122"/>
      <c r="V62" s="12"/>
      <c r="W62" s="50"/>
      <c r="X62" s="50"/>
      <c r="Y62" s="50"/>
      <c r="Z62" s="50"/>
      <c r="AA62" s="15"/>
    </row>
    <row r="63" spans="1:27" s="10" customFormat="1" ht="14.25" hidden="1" customHeight="1" x14ac:dyDescent="0.2">
      <c r="A63" s="134"/>
      <c r="B63" s="137"/>
      <c r="C63" s="109"/>
      <c r="D63" s="110"/>
      <c r="E63" s="38"/>
      <c r="F63" s="39"/>
      <c r="G63" s="39"/>
      <c r="H63" s="40"/>
      <c r="I63" s="48"/>
      <c r="J63" s="48"/>
      <c r="K63" s="2"/>
      <c r="L63" s="106"/>
      <c r="M63" s="106"/>
      <c r="N63" s="106"/>
      <c r="O63" s="106"/>
      <c r="P63" s="106"/>
      <c r="Q63" s="107"/>
      <c r="R63" s="2"/>
      <c r="S63" s="50"/>
      <c r="T63" s="50"/>
      <c r="U63" s="122"/>
      <c r="V63" s="12"/>
      <c r="W63" s="50"/>
      <c r="X63" s="50"/>
      <c r="Y63" s="50"/>
      <c r="Z63" s="50"/>
      <c r="AA63" s="15"/>
    </row>
    <row r="64" spans="1:27" s="10" customFormat="1" ht="14.25" hidden="1" customHeight="1" x14ac:dyDescent="0.2">
      <c r="A64" s="134"/>
      <c r="B64" s="137"/>
      <c r="C64" s="109"/>
      <c r="D64" s="110"/>
      <c r="E64" s="38"/>
      <c r="F64" s="39"/>
      <c r="G64" s="39"/>
      <c r="H64" s="40"/>
      <c r="I64" s="48"/>
      <c r="J64" s="48"/>
      <c r="K64" s="2"/>
      <c r="L64" s="106"/>
      <c r="M64" s="106"/>
      <c r="N64" s="106"/>
      <c r="O64" s="106"/>
      <c r="P64" s="106"/>
      <c r="Q64" s="107"/>
      <c r="R64" s="2"/>
      <c r="S64" s="50"/>
      <c r="T64" s="50"/>
      <c r="U64" s="122"/>
      <c r="V64" s="12"/>
      <c r="W64" s="50"/>
      <c r="X64" s="50"/>
      <c r="Y64" s="50"/>
      <c r="Z64" s="50"/>
      <c r="AA64" s="15"/>
    </row>
    <row r="65" spans="1:27" s="10" customFormat="1" ht="14.25" hidden="1" customHeight="1" x14ac:dyDescent="0.2">
      <c r="A65" s="134"/>
      <c r="B65" s="137"/>
      <c r="C65" s="109"/>
      <c r="D65" s="110"/>
      <c r="E65" s="38"/>
      <c r="F65" s="39"/>
      <c r="G65" s="39"/>
      <c r="H65" s="40"/>
      <c r="I65" s="48"/>
      <c r="J65" s="48"/>
      <c r="K65" s="2"/>
      <c r="L65" s="106"/>
      <c r="M65" s="106"/>
      <c r="N65" s="106"/>
      <c r="O65" s="106"/>
      <c r="P65" s="106"/>
      <c r="Q65" s="107"/>
      <c r="R65" s="2"/>
      <c r="S65" s="50"/>
      <c r="T65" s="50"/>
      <c r="U65" s="122"/>
      <c r="V65" s="12"/>
      <c r="W65" s="50"/>
      <c r="X65" s="50"/>
      <c r="Y65" s="50"/>
      <c r="Z65" s="50"/>
      <c r="AA65" s="15"/>
    </row>
    <row r="66" spans="1:27" s="10" customFormat="1" ht="14.25" hidden="1" customHeight="1" x14ac:dyDescent="0.2">
      <c r="A66" s="134"/>
      <c r="B66" s="137"/>
      <c r="C66" s="109"/>
      <c r="D66" s="110"/>
      <c r="E66" s="38"/>
      <c r="F66" s="39"/>
      <c r="G66" s="39"/>
      <c r="H66" s="40"/>
      <c r="I66" s="48"/>
      <c r="J66" s="48"/>
      <c r="K66" s="2"/>
      <c r="L66" s="106"/>
      <c r="M66" s="106"/>
      <c r="N66" s="106"/>
      <c r="O66" s="106"/>
      <c r="P66" s="106"/>
      <c r="Q66" s="107"/>
      <c r="R66" s="2"/>
      <c r="S66" s="50"/>
      <c r="T66" s="50"/>
      <c r="U66" s="122"/>
      <c r="V66" s="12"/>
      <c r="W66" s="50"/>
      <c r="X66" s="50"/>
      <c r="Y66" s="50"/>
      <c r="Z66" s="50"/>
      <c r="AA66" s="15"/>
    </row>
    <row r="67" spans="1:27" s="10" customFormat="1" ht="14.25" hidden="1" customHeight="1" x14ac:dyDescent="0.2">
      <c r="A67" s="134"/>
      <c r="B67" s="121"/>
      <c r="C67" s="109"/>
      <c r="D67" s="110"/>
      <c r="E67" s="38"/>
      <c r="F67" s="39"/>
      <c r="G67" s="39"/>
      <c r="H67" s="40"/>
      <c r="I67" s="48"/>
      <c r="J67" s="41"/>
      <c r="K67" s="2"/>
      <c r="L67" s="106"/>
      <c r="M67" s="106"/>
      <c r="N67" s="106"/>
      <c r="O67" s="106"/>
      <c r="P67" s="106"/>
      <c r="Q67" s="107"/>
      <c r="R67" s="2"/>
      <c r="S67" s="50"/>
      <c r="T67" s="50"/>
      <c r="U67" s="122"/>
      <c r="V67" s="12"/>
      <c r="W67" s="50"/>
      <c r="X67" s="50"/>
      <c r="Y67" s="50"/>
      <c r="Z67" s="50"/>
      <c r="AA67" s="15"/>
    </row>
    <row r="68" spans="1:27" s="10" customFormat="1" ht="14.25" hidden="1" customHeight="1" x14ac:dyDescent="0.2">
      <c r="A68" s="134"/>
      <c r="B68" s="121"/>
      <c r="C68" s="54"/>
      <c r="D68" s="110"/>
      <c r="E68" s="38"/>
      <c r="F68" s="39"/>
      <c r="G68" s="39"/>
      <c r="H68" s="40"/>
      <c r="I68" s="48"/>
      <c r="J68" s="48"/>
      <c r="K68" s="4"/>
      <c r="L68" s="106"/>
      <c r="M68" s="106"/>
      <c r="N68" s="106"/>
      <c r="O68" s="106"/>
      <c r="P68" s="106"/>
      <c r="Q68" s="107"/>
      <c r="R68" s="2"/>
      <c r="S68" s="50"/>
      <c r="T68" s="50"/>
      <c r="U68" s="122"/>
      <c r="V68" s="12"/>
      <c r="W68" s="50"/>
      <c r="X68" s="50"/>
      <c r="Y68" s="50"/>
      <c r="Z68" s="50"/>
      <c r="AA68" s="15"/>
    </row>
    <row r="69" spans="1:27" s="10" customFormat="1" ht="14.25" hidden="1" customHeight="1" x14ac:dyDescent="0.2">
      <c r="A69" s="134"/>
      <c r="B69" s="121"/>
      <c r="C69" s="54"/>
      <c r="D69" s="110"/>
      <c r="E69" s="38"/>
      <c r="F69" s="39"/>
      <c r="G69" s="39"/>
      <c r="H69" s="40"/>
      <c r="I69" s="48"/>
      <c r="J69" s="48"/>
      <c r="K69" s="4"/>
      <c r="L69" s="106"/>
      <c r="M69" s="106"/>
      <c r="N69" s="106"/>
      <c r="O69" s="106"/>
      <c r="P69" s="106"/>
      <c r="Q69" s="107"/>
      <c r="R69" s="2"/>
      <c r="S69" s="50"/>
      <c r="T69" s="50"/>
      <c r="U69" s="122"/>
      <c r="V69" s="12"/>
      <c r="W69" s="50"/>
      <c r="X69" s="50"/>
      <c r="Y69" s="50"/>
      <c r="Z69" s="50"/>
      <c r="AA69" s="15"/>
    </row>
    <row r="70" spans="1:27" s="10" customFormat="1" ht="14.25" hidden="1" customHeight="1" x14ac:dyDescent="0.2">
      <c r="A70" s="134"/>
      <c r="B70" s="121"/>
      <c r="C70" s="54"/>
      <c r="D70" s="110"/>
      <c r="E70" s="38"/>
      <c r="F70" s="39"/>
      <c r="G70" s="39"/>
      <c r="H70" s="40"/>
      <c r="I70" s="41"/>
      <c r="J70" s="48"/>
      <c r="K70" s="2"/>
      <c r="L70" s="106"/>
      <c r="M70" s="106"/>
      <c r="N70" s="106"/>
      <c r="O70" s="106"/>
      <c r="P70" s="106"/>
      <c r="Q70" s="107"/>
      <c r="R70" s="2"/>
      <c r="S70" s="50"/>
      <c r="T70" s="50"/>
      <c r="U70" s="122"/>
      <c r="V70" s="12"/>
      <c r="W70" s="50"/>
      <c r="X70" s="50"/>
      <c r="Y70" s="50"/>
      <c r="Z70" s="50"/>
      <c r="AA70" s="15"/>
    </row>
    <row r="71" spans="1:27" s="10" customFormat="1" ht="14.25" hidden="1" customHeight="1" x14ac:dyDescent="0.2">
      <c r="A71" s="134"/>
      <c r="B71" s="121"/>
      <c r="C71" s="54"/>
      <c r="D71" s="110"/>
      <c r="E71" s="38"/>
      <c r="F71" s="39"/>
      <c r="G71" s="39"/>
      <c r="H71" s="40"/>
      <c r="I71" s="41"/>
      <c r="J71" s="48"/>
      <c r="K71" s="2"/>
      <c r="L71" s="106"/>
      <c r="M71" s="106"/>
      <c r="N71" s="106"/>
      <c r="O71" s="106"/>
      <c r="P71" s="106"/>
      <c r="Q71" s="107"/>
      <c r="R71" s="2"/>
      <c r="S71" s="50"/>
      <c r="T71" s="50"/>
      <c r="U71" s="122"/>
      <c r="V71" s="12"/>
      <c r="W71" s="50"/>
      <c r="X71" s="50"/>
      <c r="Y71" s="50"/>
      <c r="Z71" s="50"/>
      <c r="AA71" s="15"/>
    </row>
    <row r="72" spans="1:27" s="10" customFormat="1" ht="14.25" customHeight="1" x14ac:dyDescent="0.2">
      <c r="A72" s="134"/>
      <c r="B72" s="137"/>
      <c r="C72" s="54"/>
      <c r="D72" s="101"/>
      <c r="E72" s="38"/>
      <c r="F72" s="39"/>
      <c r="G72" s="39"/>
      <c r="H72" s="40"/>
      <c r="I72" s="48"/>
      <c r="J72" s="48"/>
      <c r="K72" s="2"/>
      <c r="L72" s="106"/>
      <c r="M72" s="106"/>
      <c r="N72" s="106"/>
      <c r="O72" s="106"/>
      <c r="P72" s="106"/>
      <c r="Q72" s="107"/>
      <c r="R72" s="2"/>
      <c r="S72" s="50"/>
      <c r="T72" s="50"/>
      <c r="U72" s="122"/>
      <c r="V72" s="12"/>
      <c r="W72" s="50"/>
      <c r="X72" s="50"/>
      <c r="Y72" s="50"/>
      <c r="Z72" s="50"/>
      <c r="AA72" s="15"/>
    </row>
    <row r="73" spans="1:27" s="10" customFormat="1" ht="14.25" customHeight="1" x14ac:dyDescent="0.2">
      <c r="A73" s="134"/>
      <c r="B73" s="137"/>
      <c r="C73" s="54"/>
      <c r="D73" s="101"/>
      <c r="E73" s="38"/>
      <c r="F73" s="39"/>
      <c r="G73" s="39"/>
      <c r="H73" s="40"/>
      <c r="I73" s="48"/>
      <c r="J73" s="48"/>
      <c r="K73" s="2"/>
      <c r="L73" s="106"/>
      <c r="M73" s="106"/>
      <c r="N73" s="106"/>
      <c r="O73" s="106"/>
      <c r="P73" s="106"/>
      <c r="Q73" s="107"/>
      <c r="R73" s="2"/>
      <c r="S73" s="50"/>
      <c r="T73" s="50"/>
      <c r="U73" s="122"/>
      <c r="V73" s="12"/>
      <c r="W73" s="50"/>
      <c r="X73" s="50"/>
      <c r="Y73" s="50"/>
      <c r="Z73" s="50"/>
      <c r="AA73" s="15"/>
    </row>
    <row r="74" spans="1:27" s="10" customFormat="1" ht="14.25" customHeight="1" x14ac:dyDescent="0.2">
      <c r="A74" s="134"/>
      <c r="B74" s="121"/>
      <c r="C74" s="54"/>
      <c r="D74" s="101"/>
      <c r="E74" s="38"/>
      <c r="F74" s="39"/>
      <c r="G74" s="138"/>
      <c r="H74" s="40"/>
      <c r="I74" s="48"/>
      <c r="J74" s="41"/>
      <c r="K74" s="2"/>
      <c r="L74" s="106"/>
      <c r="M74" s="106"/>
      <c r="N74" s="106"/>
      <c r="O74" s="106"/>
      <c r="P74" s="106"/>
      <c r="Q74" s="107"/>
      <c r="R74" s="2"/>
      <c r="S74" s="50"/>
      <c r="T74" s="50"/>
      <c r="U74" s="122"/>
      <c r="V74" s="12"/>
      <c r="W74" s="50"/>
      <c r="X74" s="50"/>
      <c r="Y74" s="50"/>
      <c r="Z74" s="50"/>
      <c r="AA74" s="15"/>
    </row>
    <row r="75" spans="1:27" s="10" customFormat="1" ht="14.25" customHeight="1" x14ac:dyDescent="0.2">
      <c r="A75" s="134"/>
      <c r="B75" s="137"/>
      <c r="C75" s="54"/>
      <c r="D75" s="101"/>
      <c r="E75" s="38"/>
      <c r="F75" s="39"/>
      <c r="G75" s="39"/>
      <c r="H75" s="40"/>
      <c r="I75" s="48"/>
      <c r="J75" s="48"/>
      <c r="K75" s="2"/>
      <c r="L75" s="106"/>
      <c r="M75" s="106"/>
      <c r="N75" s="106"/>
      <c r="O75" s="106"/>
      <c r="P75" s="106"/>
      <c r="Q75" s="107"/>
      <c r="R75" s="2"/>
      <c r="S75" s="50"/>
      <c r="T75" s="50"/>
      <c r="U75" s="122"/>
      <c r="V75" s="12"/>
      <c r="W75" s="50"/>
      <c r="X75" s="50"/>
      <c r="Y75" s="50"/>
      <c r="Z75" s="50"/>
      <c r="AA75" s="15"/>
    </row>
    <row r="76" spans="1:27" s="10" customFormat="1" ht="14.25" customHeight="1" x14ac:dyDescent="0.2">
      <c r="A76" s="134"/>
      <c r="B76" s="137"/>
      <c r="C76" s="54"/>
      <c r="D76" s="101"/>
      <c r="E76" s="38"/>
      <c r="F76" s="39"/>
      <c r="G76" s="39"/>
      <c r="H76" s="40"/>
      <c r="I76" s="48"/>
      <c r="J76" s="48"/>
      <c r="K76" s="2"/>
      <c r="L76" s="106"/>
      <c r="M76" s="106"/>
      <c r="N76" s="106"/>
      <c r="O76" s="106"/>
      <c r="P76" s="106"/>
      <c r="Q76" s="107"/>
      <c r="R76" s="2"/>
      <c r="S76" s="50"/>
      <c r="T76" s="50"/>
      <c r="U76" s="122"/>
      <c r="V76" s="12"/>
      <c r="W76" s="50"/>
      <c r="X76" s="50"/>
      <c r="Y76" s="50"/>
      <c r="Z76" s="50"/>
      <c r="AA76" s="15"/>
    </row>
    <row r="77" spans="1:27" s="10" customFormat="1" ht="14.25" customHeight="1" x14ac:dyDescent="0.2">
      <c r="A77" s="134"/>
      <c r="B77" s="137"/>
      <c r="C77" s="54"/>
      <c r="D77" s="101"/>
      <c r="E77" s="38"/>
      <c r="F77" s="39"/>
      <c r="G77" s="39"/>
      <c r="H77" s="40"/>
      <c r="I77" s="48"/>
      <c r="J77" s="48"/>
      <c r="K77" s="2"/>
      <c r="L77" s="106"/>
      <c r="M77" s="106"/>
      <c r="N77" s="106"/>
      <c r="O77" s="106"/>
      <c r="P77" s="106"/>
      <c r="Q77" s="107"/>
      <c r="R77" s="2"/>
      <c r="S77" s="50"/>
      <c r="T77" s="50"/>
      <c r="U77" s="122"/>
      <c r="V77" s="12"/>
      <c r="W77" s="50"/>
      <c r="X77" s="50"/>
      <c r="Y77" s="50"/>
      <c r="Z77" s="50"/>
      <c r="AA77" s="15"/>
    </row>
    <row r="78" spans="1:27" s="10" customFormat="1" ht="14.25" customHeight="1" x14ac:dyDescent="0.2">
      <c r="A78" s="134"/>
      <c r="B78" s="137"/>
      <c r="C78" s="54"/>
      <c r="D78" s="101"/>
      <c r="E78" s="38"/>
      <c r="F78" s="138"/>
      <c r="G78" s="138"/>
      <c r="H78" s="40"/>
      <c r="I78" s="48"/>
      <c r="J78" s="48"/>
      <c r="K78" s="2"/>
      <c r="L78" s="106"/>
      <c r="M78" s="106"/>
      <c r="N78" s="106"/>
      <c r="O78" s="106"/>
      <c r="P78" s="106"/>
      <c r="Q78" s="107"/>
      <c r="R78" s="2"/>
      <c r="S78" s="50"/>
      <c r="T78" s="50"/>
      <c r="U78" s="122"/>
      <c r="V78" s="12"/>
      <c r="W78" s="50"/>
      <c r="X78" s="50"/>
      <c r="Y78" s="50"/>
      <c r="Z78" s="50"/>
      <c r="AA78" s="15"/>
    </row>
    <row r="79" spans="1:27" s="10" customFormat="1" ht="14.25" customHeight="1" x14ac:dyDescent="0.2">
      <c r="A79" s="134"/>
      <c r="B79" s="137"/>
      <c r="C79" s="54"/>
      <c r="D79" s="101"/>
      <c r="E79" s="38"/>
      <c r="F79" s="138"/>
      <c r="G79" s="138"/>
      <c r="H79" s="40"/>
      <c r="I79" s="48"/>
      <c r="J79" s="48"/>
      <c r="K79" s="2"/>
      <c r="L79" s="106"/>
      <c r="M79" s="106"/>
      <c r="N79" s="106"/>
      <c r="O79" s="106"/>
      <c r="P79" s="106"/>
      <c r="Q79" s="107"/>
      <c r="R79" s="2"/>
      <c r="S79" s="50"/>
      <c r="T79" s="50"/>
      <c r="U79" s="122"/>
      <c r="V79" s="12"/>
      <c r="W79" s="50"/>
      <c r="X79" s="50"/>
      <c r="Y79" s="50"/>
      <c r="Z79" s="50"/>
      <c r="AA79" s="15"/>
    </row>
    <row r="80" spans="1:27" s="10" customFormat="1" ht="14.25" customHeight="1" x14ac:dyDescent="0.2">
      <c r="A80" s="134"/>
      <c r="B80" s="137"/>
      <c r="C80" s="54"/>
      <c r="D80" s="101"/>
      <c r="E80" s="38"/>
      <c r="F80" s="138"/>
      <c r="G80" s="138"/>
      <c r="H80" s="40"/>
      <c r="I80" s="48"/>
      <c r="J80" s="48"/>
      <c r="K80" s="2"/>
      <c r="L80" s="106"/>
      <c r="M80" s="106"/>
      <c r="N80" s="106"/>
      <c r="O80" s="106"/>
      <c r="P80" s="106"/>
      <c r="Q80" s="107"/>
      <c r="R80" s="2"/>
      <c r="S80" s="50"/>
      <c r="T80" s="50"/>
      <c r="U80" s="122"/>
      <c r="V80" s="12"/>
      <c r="W80" s="50"/>
      <c r="X80" s="50"/>
      <c r="Y80" s="50"/>
      <c r="Z80" s="50"/>
      <c r="AA80" s="15"/>
    </row>
    <row r="81" spans="1:27" s="10" customFormat="1" ht="14.25" hidden="1" customHeight="1" x14ac:dyDescent="0.2">
      <c r="A81" s="134"/>
      <c r="B81" s="121"/>
      <c r="C81" s="54"/>
      <c r="D81" s="101"/>
      <c r="E81" s="38"/>
      <c r="F81" s="138"/>
      <c r="G81" s="138"/>
      <c r="H81" s="40"/>
      <c r="I81" s="48"/>
      <c r="J81" s="48"/>
      <c r="K81" s="2"/>
      <c r="L81" s="106"/>
      <c r="M81" s="106"/>
      <c r="N81" s="106"/>
      <c r="O81" s="106"/>
      <c r="P81" s="106"/>
      <c r="Q81" s="107"/>
      <c r="R81" s="2"/>
      <c r="S81" s="50"/>
      <c r="T81" s="50"/>
      <c r="U81" s="122"/>
      <c r="V81" s="12"/>
      <c r="W81" s="50"/>
      <c r="X81" s="50"/>
      <c r="Y81" s="50"/>
      <c r="Z81" s="50"/>
      <c r="AA81" s="15"/>
    </row>
    <row r="82" spans="1:27" s="10" customFormat="1" ht="14.25" hidden="1" customHeight="1" x14ac:dyDescent="0.2">
      <c r="A82" s="134"/>
      <c r="B82" s="121"/>
      <c r="C82" s="54"/>
      <c r="D82" s="101"/>
      <c r="E82" s="38"/>
      <c r="F82" s="138"/>
      <c r="G82" s="138"/>
      <c r="H82" s="40"/>
      <c r="I82" s="48"/>
      <c r="J82" s="41"/>
      <c r="K82" s="2"/>
      <c r="L82" s="106"/>
      <c r="M82" s="106"/>
      <c r="N82" s="106"/>
      <c r="O82" s="106"/>
      <c r="P82" s="106"/>
      <c r="Q82" s="107"/>
      <c r="R82" s="2"/>
      <c r="S82" s="50"/>
      <c r="T82" s="50"/>
      <c r="U82" s="122"/>
      <c r="V82" s="12"/>
      <c r="W82" s="50"/>
      <c r="X82" s="50"/>
      <c r="Y82" s="50"/>
      <c r="Z82" s="50"/>
      <c r="AA82" s="15"/>
    </row>
    <row r="83" spans="1:27" s="10" customFormat="1" ht="14.25" hidden="1" customHeight="1" x14ac:dyDescent="0.2">
      <c r="A83" s="134"/>
      <c r="B83" s="121"/>
      <c r="C83" s="54"/>
      <c r="D83" s="101"/>
      <c r="E83" s="38"/>
      <c r="F83" s="138"/>
      <c r="G83" s="138"/>
      <c r="H83" s="40"/>
      <c r="I83" s="48"/>
      <c r="J83" s="41"/>
      <c r="K83" s="2"/>
      <c r="L83" s="106"/>
      <c r="M83" s="106"/>
      <c r="N83" s="106"/>
      <c r="O83" s="106"/>
      <c r="P83" s="106"/>
      <c r="Q83" s="107"/>
      <c r="R83" s="2"/>
      <c r="S83" s="50"/>
      <c r="T83" s="50"/>
      <c r="U83" s="122"/>
      <c r="V83" s="12"/>
      <c r="W83" s="50"/>
      <c r="X83" s="50"/>
      <c r="Y83" s="50"/>
      <c r="Z83" s="50"/>
      <c r="AA83" s="15"/>
    </row>
    <row r="84" spans="1:27" s="10" customFormat="1" ht="14.25" hidden="1" customHeight="1" x14ac:dyDescent="0.2">
      <c r="A84" s="134"/>
      <c r="B84" s="121"/>
      <c r="C84" s="54"/>
      <c r="D84" s="101"/>
      <c r="E84" s="38"/>
      <c r="F84" s="138"/>
      <c r="G84" s="139"/>
      <c r="H84" s="140"/>
      <c r="I84" s="141"/>
      <c r="J84" s="142"/>
      <c r="K84" s="2"/>
      <c r="L84" s="106"/>
      <c r="M84" s="106"/>
      <c r="N84" s="106"/>
      <c r="O84" s="106"/>
      <c r="P84" s="106"/>
      <c r="Q84" s="107"/>
      <c r="R84" s="2"/>
      <c r="S84" s="50"/>
      <c r="T84" s="50"/>
      <c r="U84" s="122"/>
      <c r="V84" s="12"/>
      <c r="W84" s="50"/>
      <c r="X84" s="50"/>
      <c r="Y84" s="50"/>
      <c r="Z84" s="50"/>
      <c r="AA84" s="15"/>
    </row>
    <row r="85" spans="1:27" s="10" customFormat="1" ht="14.25" hidden="1" customHeight="1" x14ac:dyDescent="0.2">
      <c r="A85" s="134"/>
      <c r="B85" s="121"/>
      <c r="C85" s="54"/>
      <c r="D85" s="101"/>
      <c r="E85" s="38"/>
      <c r="F85" s="138"/>
      <c r="G85" s="138"/>
      <c r="H85" s="40"/>
      <c r="I85" s="48"/>
      <c r="J85" s="41"/>
      <c r="K85" s="2"/>
      <c r="L85" s="106"/>
      <c r="M85" s="106"/>
      <c r="N85" s="106"/>
      <c r="O85" s="106"/>
      <c r="P85" s="106"/>
      <c r="Q85" s="107"/>
      <c r="R85" s="2"/>
      <c r="S85" s="50"/>
      <c r="T85" s="50"/>
      <c r="U85" s="122"/>
      <c r="V85" s="12"/>
      <c r="W85" s="50"/>
      <c r="X85" s="50"/>
      <c r="Y85" s="50"/>
      <c r="Z85" s="50"/>
      <c r="AA85" s="15"/>
    </row>
    <row r="86" spans="1:27" s="10" customFormat="1" ht="14.25" hidden="1" customHeight="1" x14ac:dyDescent="0.2">
      <c r="A86" s="134"/>
      <c r="B86" s="121"/>
      <c r="C86" s="54"/>
      <c r="D86" s="101"/>
      <c r="E86" s="38"/>
      <c r="F86" s="138"/>
      <c r="G86" s="138"/>
      <c r="H86" s="40"/>
      <c r="I86" s="48"/>
      <c r="J86" s="41"/>
      <c r="K86" s="2"/>
      <c r="L86" s="106"/>
      <c r="M86" s="106"/>
      <c r="N86" s="106"/>
      <c r="O86" s="106"/>
      <c r="P86" s="106"/>
      <c r="Q86" s="107"/>
      <c r="R86" s="2"/>
      <c r="S86" s="50"/>
      <c r="T86" s="50"/>
      <c r="U86" s="122"/>
      <c r="V86" s="12"/>
      <c r="W86" s="50"/>
      <c r="X86" s="50"/>
      <c r="Y86" s="50"/>
      <c r="Z86" s="50"/>
      <c r="AA86" s="15"/>
    </row>
    <row r="87" spans="1:27" s="10" customFormat="1" ht="14.25" hidden="1" customHeight="1" x14ac:dyDescent="0.2">
      <c r="A87" s="134"/>
      <c r="B87" s="121"/>
      <c r="C87" s="54"/>
      <c r="D87" s="101"/>
      <c r="E87" s="38"/>
      <c r="F87" s="138"/>
      <c r="G87" s="138"/>
      <c r="H87" s="40"/>
      <c r="I87" s="48"/>
      <c r="J87" s="41"/>
      <c r="K87" s="2"/>
      <c r="L87" s="106"/>
      <c r="M87" s="106"/>
      <c r="N87" s="106"/>
      <c r="O87" s="106"/>
      <c r="P87" s="106"/>
      <c r="Q87" s="107"/>
      <c r="R87" s="2"/>
      <c r="S87" s="50"/>
      <c r="T87" s="50"/>
      <c r="U87" s="122"/>
      <c r="V87" s="12"/>
      <c r="W87" s="50"/>
      <c r="X87" s="50"/>
      <c r="Y87" s="50"/>
      <c r="Z87" s="50"/>
      <c r="AA87" s="15"/>
    </row>
    <row r="88" spans="1:27" s="10" customFormat="1" ht="14.25" hidden="1" customHeight="1" x14ac:dyDescent="0.2">
      <c r="A88" s="134"/>
      <c r="B88" s="121"/>
      <c r="C88" s="54"/>
      <c r="D88" s="101"/>
      <c r="E88" s="38"/>
      <c r="F88" s="138"/>
      <c r="G88" s="138"/>
      <c r="H88" s="40"/>
      <c r="I88" s="48"/>
      <c r="J88" s="41"/>
      <c r="K88" s="2"/>
      <c r="L88" s="106"/>
      <c r="M88" s="106"/>
      <c r="N88" s="106"/>
      <c r="O88" s="106"/>
      <c r="P88" s="106"/>
      <c r="Q88" s="107"/>
      <c r="R88" s="2"/>
      <c r="S88" s="50"/>
      <c r="T88" s="50"/>
      <c r="U88" s="122"/>
      <c r="V88" s="12"/>
      <c r="W88" s="50"/>
      <c r="X88" s="50"/>
      <c r="Y88" s="50"/>
      <c r="Z88" s="50"/>
      <c r="AA88" s="15"/>
    </row>
    <row r="89" spans="1:27" s="10" customFormat="1" ht="14.25" hidden="1" customHeight="1" x14ac:dyDescent="0.2">
      <c r="A89" s="134"/>
      <c r="B89" s="121"/>
      <c r="C89" s="54"/>
      <c r="D89" s="101"/>
      <c r="E89" s="38"/>
      <c r="F89" s="138"/>
      <c r="G89" s="138"/>
      <c r="H89" s="40"/>
      <c r="I89" s="48"/>
      <c r="J89" s="41"/>
      <c r="K89" s="2"/>
      <c r="L89" s="106"/>
      <c r="M89" s="106"/>
      <c r="N89" s="106"/>
      <c r="O89" s="106"/>
      <c r="P89" s="106"/>
      <c r="Q89" s="107"/>
      <c r="R89" s="2"/>
      <c r="S89" s="50"/>
      <c r="T89" s="50"/>
      <c r="U89" s="122"/>
      <c r="V89" s="12"/>
      <c r="W89" s="50"/>
      <c r="X89" s="50"/>
      <c r="Y89" s="50"/>
      <c r="Z89" s="50"/>
      <c r="AA89" s="15"/>
    </row>
    <row r="90" spans="1:27" s="10" customFormat="1" ht="14.25" hidden="1" customHeight="1" x14ac:dyDescent="0.2">
      <c r="A90" s="134"/>
      <c r="B90" s="121"/>
      <c r="C90" s="54"/>
      <c r="D90" s="101"/>
      <c r="E90" s="38"/>
      <c r="F90" s="138"/>
      <c r="G90" s="138"/>
      <c r="H90" s="40"/>
      <c r="I90" s="48"/>
      <c r="J90" s="41"/>
      <c r="K90" s="2"/>
      <c r="L90" s="106"/>
      <c r="M90" s="106"/>
      <c r="N90" s="106"/>
      <c r="O90" s="106"/>
      <c r="P90" s="106"/>
      <c r="Q90" s="107"/>
      <c r="R90" s="2"/>
      <c r="S90" s="50"/>
      <c r="T90" s="50"/>
      <c r="U90" s="122"/>
      <c r="V90" s="12"/>
      <c r="W90" s="50"/>
      <c r="X90" s="50"/>
      <c r="Y90" s="50"/>
      <c r="Z90" s="50"/>
      <c r="AA90" s="15"/>
    </row>
    <row r="91" spans="1:27" s="10" customFormat="1" ht="14.25" hidden="1" customHeight="1" x14ac:dyDescent="0.2">
      <c r="A91" s="134"/>
      <c r="B91" s="121"/>
      <c r="C91" s="54"/>
      <c r="D91" s="101"/>
      <c r="E91" s="38"/>
      <c r="F91" s="138"/>
      <c r="G91" s="138"/>
      <c r="H91" s="40"/>
      <c r="I91" s="48"/>
      <c r="J91" s="41"/>
      <c r="K91" s="2"/>
      <c r="L91" s="106"/>
      <c r="M91" s="106"/>
      <c r="N91" s="106"/>
      <c r="O91" s="106"/>
      <c r="P91" s="106"/>
      <c r="Q91" s="107"/>
      <c r="R91" s="2"/>
      <c r="S91" s="50"/>
      <c r="T91" s="50"/>
      <c r="U91" s="122"/>
      <c r="V91" s="12"/>
      <c r="W91" s="50"/>
      <c r="X91" s="50"/>
      <c r="Y91" s="50"/>
      <c r="Z91" s="50"/>
      <c r="AA91" s="15"/>
    </row>
    <row r="92" spans="1:27" s="10" customFormat="1" ht="14.25" hidden="1" customHeight="1" x14ac:dyDescent="0.2">
      <c r="A92" s="134"/>
      <c r="B92" s="121"/>
      <c r="C92" s="54"/>
      <c r="D92" s="101"/>
      <c r="E92" s="38"/>
      <c r="F92" s="138"/>
      <c r="G92" s="138"/>
      <c r="H92" s="40"/>
      <c r="I92" s="48"/>
      <c r="J92" s="41"/>
      <c r="K92" s="2"/>
      <c r="L92" s="106"/>
      <c r="M92" s="106"/>
      <c r="N92" s="106"/>
      <c r="O92" s="106"/>
      <c r="P92" s="106"/>
      <c r="Q92" s="107"/>
      <c r="R92" s="2"/>
      <c r="S92" s="50"/>
      <c r="T92" s="50"/>
      <c r="U92" s="122"/>
      <c r="V92" s="12"/>
      <c r="W92" s="50"/>
      <c r="X92" s="50"/>
      <c r="Y92" s="50"/>
      <c r="Z92" s="50"/>
      <c r="AA92" s="15"/>
    </row>
    <row r="93" spans="1:27" s="10" customFormat="1" ht="14.25" hidden="1" customHeight="1" x14ac:dyDescent="0.2">
      <c r="A93" s="134"/>
      <c r="B93" s="121"/>
      <c r="C93" s="54"/>
      <c r="D93" s="101"/>
      <c r="E93" s="38"/>
      <c r="F93" s="138"/>
      <c r="G93" s="138"/>
      <c r="H93" s="40"/>
      <c r="I93" s="48"/>
      <c r="J93" s="41"/>
      <c r="K93" s="2"/>
      <c r="L93" s="106"/>
      <c r="M93" s="106"/>
      <c r="N93" s="106"/>
      <c r="O93" s="106"/>
      <c r="P93" s="106"/>
      <c r="Q93" s="107"/>
      <c r="R93" s="2"/>
      <c r="S93" s="50"/>
      <c r="T93" s="50"/>
      <c r="U93" s="122"/>
      <c r="V93" s="12"/>
      <c r="W93" s="50"/>
      <c r="X93" s="50"/>
      <c r="Y93" s="50"/>
      <c r="Z93" s="50"/>
      <c r="AA93" s="15"/>
    </row>
    <row r="94" spans="1:27" s="10" customFormat="1" ht="14.25" hidden="1" customHeight="1" x14ac:dyDescent="0.2">
      <c r="A94" s="134"/>
      <c r="B94" s="121"/>
      <c r="C94" s="54"/>
      <c r="D94" s="101"/>
      <c r="E94" s="38"/>
      <c r="F94" s="138"/>
      <c r="G94" s="138"/>
      <c r="H94" s="40"/>
      <c r="I94" s="48"/>
      <c r="J94" s="41"/>
      <c r="K94" s="2"/>
      <c r="L94" s="106"/>
      <c r="M94" s="106"/>
      <c r="N94" s="106"/>
      <c r="O94" s="106"/>
      <c r="P94" s="106"/>
      <c r="Q94" s="107"/>
      <c r="R94" s="2"/>
      <c r="S94" s="50"/>
      <c r="T94" s="50"/>
      <c r="U94" s="122"/>
      <c r="V94" s="12"/>
      <c r="W94" s="50"/>
      <c r="X94" s="50"/>
      <c r="Y94" s="50"/>
      <c r="Z94" s="50"/>
      <c r="AA94" s="15"/>
    </row>
    <row r="95" spans="1:27" s="10" customFormat="1" ht="14.25" hidden="1" customHeight="1" x14ac:dyDescent="0.2">
      <c r="A95" s="134"/>
      <c r="B95" s="121"/>
      <c r="C95" s="54"/>
      <c r="D95" s="101"/>
      <c r="E95" s="38"/>
      <c r="F95" s="138"/>
      <c r="G95" s="138"/>
      <c r="H95" s="40"/>
      <c r="I95" s="48"/>
      <c r="J95" s="41"/>
      <c r="K95" s="2"/>
      <c r="L95" s="106"/>
      <c r="M95" s="106"/>
      <c r="N95" s="106"/>
      <c r="O95" s="106"/>
      <c r="P95" s="106"/>
      <c r="Q95" s="107"/>
      <c r="R95" s="2"/>
      <c r="S95" s="50"/>
      <c r="T95" s="50"/>
      <c r="U95" s="122"/>
      <c r="V95" s="12"/>
      <c r="W95" s="50"/>
      <c r="X95" s="50"/>
      <c r="Y95" s="50"/>
      <c r="Z95" s="50"/>
      <c r="AA95" s="15"/>
    </row>
    <row r="96" spans="1:27" s="10" customFormat="1" ht="14.25" hidden="1" customHeight="1" x14ac:dyDescent="0.2">
      <c r="A96" s="134"/>
      <c r="B96" s="121"/>
      <c r="C96" s="54"/>
      <c r="D96" s="101"/>
      <c r="E96" s="38"/>
      <c r="F96" s="138"/>
      <c r="G96" s="138"/>
      <c r="H96" s="40"/>
      <c r="I96" s="48"/>
      <c r="J96" s="41"/>
      <c r="K96" s="2"/>
      <c r="L96" s="106"/>
      <c r="M96" s="106"/>
      <c r="N96" s="106"/>
      <c r="O96" s="106"/>
      <c r="P96" s="106"/>
      <c r="Q96" s="107"/>
      <c r="R96" s="2"/>
      <c r="S96" s="50"/>
      <c r="T96" s="50"/>
      <c r="U96" s="122"/>
      <c r="V96" s="12"/>
      <c r="W96" s="50"/>
      <c r="X96" s="50"/>
      <c r="Y96" s="50"/>
      <c r="Z96" s="50"/>
      <c r="AA96" s="15"/>
    </row>
    <row r="97" spans="1:27" s="10" customFormat="1" ht="14.25" hidden="1" customHeight="1" x14ac:dyDescent="0.2">
      <c r="A97" s="134"/>
      <c r="B97" s="121"/>
      <c r="C97" s="54"/>
      <c r="D97" s="101"/>
      <c r="E97" s="38"/>
      <c r="F97" s="138"/>
      <c r="G97" s="138"/>
      <c r="H97" s="40"/>
      <c r="I97" s="48"/>
      <c r="J97" s="41"/>
      <c r="K97" s="2"/>
      <c r="L97" s="106"/>
      <c r="M97" s="106"/>
      <c r="N97" s="106"/>
      <c r="O97" s="106"/>
      <c r="P97" s="106"/>
      <c r="Q97" s="107"/>
      <c r="R97" s="2"/>
      <c r="S97" s="50"/>
      <c r="T97" s="50"/>
      <c r="U97" s="122"/>
      <c r="V97" s="12"/>
      <c r="W97" s="50"/>
      <c r="X97" s="50"/>
      <c r="Y97" s="50"/>
      <c r="Z97" s="50"/>
      <c r="AA97" s="15"/>
    </row>
    <row r="98" spans="1:27" s="10" customFormat="1" ht="14.25" hidden="1" customHeight="1" x14ac:dyDescent="0.2">
      <c r="A98" s="134"/>
      <c r="B98" s="121"/>
      <c r="C98" s="54"/>
      <c r="D98" s="101"/>
      <c r="E98" s="38"/>
      <c r="F98" s="138"/>
      <c r="G98" s="138"/>
      <c r="H98" s="40"/>
      <c r="I98" s="48"/>
      <c r="J98" s="41"/>
      <c r="K98" s="2"/>
      <c r="L98" s="106"/>
      <c r="M98" s="106"/>
      <c r="N98" s="106"/>
      <c r="O98" s="106"/>
      <c r="P98" s="106"/>
      <c r="Q98" s="107"/>
      <c r="R98" s="2"/>
      <c r="S98" s="50"/>
      <c r="T98" s="50"/>
      <c r="U98" s="122"/>
      <c r="V98" s="12"/>
      <c r="W98" s="50"/>
      <c r="X98" s="50"/>
      <c r="Y98" s="50"/>
      <c r="Z98" s="50"/>
      <c r="AA98" s="15"/>
    </row>
    <row r="99" spans="1:27" s="10" customFormat="1" ht="14.25" hidden="1" customHeight="1" x14ac:dyDescent="0.2">
      <c r="A99" s="134"/>
      <c r="B99" s="121"/>
      <c r="C99" s="54"/>
      <c r="D99" s="101"/>
      <c r="E99" s="38"/>
      <c r="F99" s="138"/>
      <c r="G99" s="138"/>
      <c r="H99" s="40"/>
      <c r="I99" s="48"/>
      <c r="J99" s="41"/>
      <c r="K99" s="2"/>
      <c r="L99" s="106"/>
      <c r="M99" s="106"/>
      <c r="N99" s="106"/>
      <c r="O99" s="106"/>
      <c r="P99" s="106"/>
      <c r="Q99" s="107"/>
      <c r="R99" s="2"/>
      <c r="S99" s="50"/>
      <c r="T99" s="50"/>
      <c r="U99" s="122"/>
      <c r="V99" s="12"/>
      <c r="W99" s="50"/>
      <c r="X99" s="50"/>
      <c r="Y99" s="50"/>
      <c r="Z99" s="50"/>
      <c r="AA99" s="15"/>
    </row>
    <row r="100" spans="1:27" s="10" customFormat="1" ht="14.25" hidden="1" customHeight="1" x14ac:dyDescent="0.2">
      <c r="A100" s="134"/>
      <c r="B100" s="121"/>
      <c r="C100" s="54"/>
      <c r="D100" s="101"/>
      <c r="E100" s="38"/>
      <c r="F100" s="138"/>
      <c r="G100" s="138"/>
      <c r="H100" s="40"/>
      <c r="I100" s="48"/>
      <c r="J100" s="41"/>
      <c r="K100" s="2"/>
      <c r="L100" s="106"/>
      <c r="M100" s="106"/>
      <c r="N100" s="106"/>
      <c r="O100" s="106"/>
      <c r="P100" s="106"/>
      <c r="Q100" s="107"/>
      <c r="R100" s="2"/>
      <c r="S100" s="50"/>
      <c r="T100" s="50"/>
      <c r="U100" s="122"/>
      <c r="V100" s="12"/>
      <c r="W100" s="50"/>
      <c r="X100" s="50"/>
      <c r="Y100" s="50"/>
      <c r="Z100" s="50"/>
      <c r="AA100" s="15"/>
    </row>
    <row r="101" spans="1:27" s="10" customFormat="1" ht="14.25" hidden="1" customHeight="1" x14ac:dyDescent="0.2">
      <c r="A101" s="134"/>
      <c r="B101" s="121"/>
      <c r="C101" s="54"/>
      <c r="D101" s="101"/>
      <c r="E101" s="38"/>
      <c r="F101" s="138"/>
      <c r="G101" s="138"/>
      <c r="H101" s="40"/>
      <c r="I101" s="48"/>
      <c r="J101" s="41"/>
      <c r="K101" s="2"/>
      <c r="L101" s="106"/>
      <c r="M101" s="106"/>
      <c r="N101" s="106"/>
      <c r="O101" s="106"/>
      <c r="P101" s="106"/>
      <c r="Q101" s="107"/>
      <c r="R101" s="2"/>
      <c r="S101" s="50"/>
      <c r="T101" s="50"/>
      <c r="U101" s="122"/>
      <c r="V101" s="12"/>
      <c r="W101" s="50"/>
      <c r="X101" s="50"/>
      <c r="Y101" s="50"/>
      <c r="Z101" s="50"/>
      <c r="AA101" s="15"/>
    </row>
    <row r="102" spans="1:27" s="10" customFormat="1" ht="14.25" hidden="1" customHeight="1" x14ac:dyDescent="0.2">
      <c r="A102" s="134"/>
      <c r="B102" s="121"/>
      <c r="C102" s="54"/>
      <c r="D102" s="101"/>
      <c r="E102" s="38"/>
      <c r="F102" s="138"/>
      <c r="G102" s="138"/>
      <c r="H102" s="40"/>
      <c r="I102" s="48"/>
      <c r="J102" s="41"/>
      <c r="K102" s="2"/>
      <c r="L102" s="106"/>
      <c r="M102" s="106"/>
      <c r="N102" s="106"/>
      <c r="O102" s="106"/>
      <c r="P102" s="106"/>
      <c r="Q102" s="107"/>
      <c r="R102" s="2"/>
      <c r="S102" s="50"/>
      <c r="T102" s="50"/>
      <c r="U102" s="122"/>
      <c r="V102" s="12"/>
      <c r="W102" s="50"/>
      <c r="X102" s="50"/>
      <c r="Y102" s="143"/>
      <c r="Z102" s="120"/>
      <c r="AA102" s="15"/>
    </row>
    <row r="103" spans="1:27" s="10" customFormat="1" ht="14.25" hidden="1" customHeight="1" x14ac:dyDescent="0.2">
      <c r="A103" s="134"/>
      <c r="B103" s="121"/>
      <c r="C103" s="54"/>
      <c r="D103" s="101"/>
      <c r="E103" s="38"/>
      <c r="F103" s="138"/>
      <c r="G103" s="138"/>
      <c r="H103" s="40"/>
      <c r="I103" s="48"/>
      <c r="J103" s="41"/>
      <c r="K103" s="2"/>
      <c r="L103" s="106"/>
      <c r="M103" s="106"/>
      <c r="N103" s="106"/>
      <c r="O103" s="106"/>
      <c r="P103" s="106"/>
      <c r="Q103" s="107"/>
      <c r="R103" s="2"/>
      <c r="S103" s="50"/>
      <c r="T103" s="50"/>
      <c r="U103" s="122"/>
      <c r="V103" s="12"/>
      <c r="W103" s="50"/>
      <c r="X103" s="50"/>
      <c r="Y103" s="143"/>
      <c r="Z103" s="144"/>
      <c r="AA103" s="15"/>
    </row>
    <row r="104" spans="1:27" s="10" customFormat="1" ht="14.25" hidden="1" customHeight="1" x14ac:dyDescent="0.2">
      <c r="A104" s="134"/>
      <c r="B104" s="121"/>
      <c r="C104" s="54"/>
      <c r="D104" s="101"/>
      <c r="E104" s="38"/>
      <c r="F104" s="138"/>
      <c r="G104" s="138"/>
      <c r="H104" s="40"/>
      <c r="I104" s="48"/>
      <c r="J104" s="41"/>
      <c r="K104" s="2"/>
      <c r="L104" s="106"/>
      <c r="M104" s="106"/>
      <c r="N104" s="106"/>
      <c r="O104" s="106"/>
      <c r="P104" s="106"/>
      <c r="Q104" s="107"/>
      <c r="R104" s="2"/>
      <c r="S104" s="50"/>
      <c r="T104" s="50"/>
      <c r="U104" s="122"/>
      <c r="V104" s="12"/>
      <c r="W104" s="50"/>
      <c r="X104" s="50"/>
      <c r="Y104" s="143"/>
      <c r="Z104" s="144"/>
      <c r="AA104" s="15"/>
    </row>
    <row r="105" spans="1:27" s="10" customFormat="1" ht="14.25" hidden="1" customHeight="1" x14ac:dyDescent="0.2">
      <c r="A105" s="134"/>
      <c r="B105" s="121"/>
      <c r="C105" s="54"/>
      <c r="D105" s="101"/>
      <c r="E105" s="38"/>
      <c r="F105" s="138"/>
      <c r="G105" s="138"/>
      <c r="H105" s="40"/>
      <c r="I105" s="48"/>
      <c r="J105" s="41"/>
      <c r="K105" s="2"/>
      <c r="L105" s="106"/>
      <c r="M105" s="106"/>
      <c r="N105" s="106"/>
      <c r="O105" s="106"/>
      <c r="P105" s="106"/>
      <c r="Q105" s="107"/>
      <c r="R105" s="2"/>
      <c r="S105" s="50"/>
      <c r="T105" s="50"/>
      <c r="U105" s="122"/>
      <c r="V105" s="12"/>
      <c r="W105" s="50"/>
      <c r="X105" s="50"/>
      <c r="Y105" s="143"/>
      <c r="Z105" s="144"/>
      <c r="AA105" s="15"/>
    </row>
    <row r="106" spans="1:27" s="10" customFormat="1" ht="14.25" hidden="1" customHeight="1" x14ac:dyDescent="0.2">
      <c r="A106" s="134"/>
      <c r="B106" s="121"/>
      <c r="C106" s="54"/>
      <c r="D106" s="101"/>
      <c r="E106" s="38"/>
      <c r="F106" s="138"/>
      <c r="G106" s="138"/>
      <c r="H106" s="40"/>
      <c r="I106" s="48"/>
      <c r="J106" s="41"/>
      <c r="K106" s="2"/>
      <c r="L106" s="106"/>
      <c r="M106" s="106"/>
      <c r="N106" s="106"/>
      <c r="O106" s="106"/>
      <c r="P106" s="106"/>
      <c r="Q106" s="107"/>
      <c r="R106" s="2"/>
      <c r="S106" s="120"/>
      <c r="T106" s="120"/>
      <c r="U106" s="122"/>
      <c r="V106" s="12"/>
      <c r="W106" s="50"/>
      <c r="X106" s="120"/>
      <c r="Y106" s="145"/>
      <c r="Z106" s="136"/>
      <c r="AA106" s="15"/>
    </row>
    <row r="107" spans="1:27" s="10" customFormat="1" ht="14.25" hidden="1" customHeight="1" x14ac:dyDescent="0.2">
      <c r="A107" s="134"/>
      <c r="B107" s="146"/>
      <c r="C107" s="54"/>
      <c r="D107" s="101"/>
      <c r="E107" s="38"/>
      <c r="F107" s="138"/>
      <c r="G107" s="138"/>
      <c r="H107" s="40"/>
      <c r="I107" s="48"/>
      <c r="J107" s="41"/>
      <c r="K107" s="2"/>
      <c r="L107" s="147"/>
      <c r="M107" s="148"/>
      <c r="N107" s="149"/>
      <c r="O107" s="106"/>
      <c r="P107" s="150"/>
      <c r="Q107" s="107"/>
      <c r="R107" s="2"/>
      <c r="S107" s="151"/>
      <c r="T107" s="151"/>
      <c r="U107" s="122"/>
      <c r="V107" s="152"/>
      <c r="W107" s="151"/>
      <c r="X107" s="151"/>
      <c r="Y107" s="151"/>
      <c r="Z107" s="151"/>
      <c r="AA107" s="15"/>
    </row>
    <row r="108" spans="1:27" s="10" customFormat="1" ht="14.25" hidden="1" customHeight="1" x14ac:dyDescent="0.2">
      <c r="A108" s="134"/>
      <c r="B108" s="146"/>
      <c r="C108" s="54"/>
      <c r="D108" s="101"/>
      <c r="E108" s="38"/>
      <c r="F108" s="138"/>
      <c r="G108" s="138"/>
      <c r="H108" s="40"/>
      <c r="I108" s="48"/>
      <c r="J108" s="41"/>
      <c r="K108" s="2"/>
      <c r="L108" s="153"/>
      <c r="M108" s="148"/>
      <c r="N108" s="149"/>
      <c r="O108" s="106"/>
      <c r="P108" s="150"/>
      <c r="Q108" s="107"/>
      <c r="R108" s="2"/>
      <c r="S108" s="151"/>
      <c r="T108" s="151"/>
      <c r="U108" s="122"/>
      <c r="V108" s="152"/>
      <c r="W108" s="151"/>
      <c r="X108" s="151"/>
      <c r="Y108" s="151"/>
      <c r="Z108" s="151"/>
      <c r="AA108" s="15"/>
    </row>
    <row r="109" spans="1:27" s="10" customFormat="1" ht="14.25" hidden="1" customHeight="1" x14ac:dyDescent="0.2">
      <c r="A109" s="134"/>
      <c r="B109" s="146"/>
      <c r="C109" s="54"/>
      <c r="D109" s="101"/>
      <c r="E109" s="38"/>
      <c r="F109" s="138"/>
      <c r="G109" s="138"/>
      <c r="H109" s="40"/>
      <c r="I109" s="48"/>
      <c r="J109" s="41"/>
      <c r="K109" s="2"/>
      <c r="L109" s="153"/>
      <c r="M109" s="148"/>
      <c r="N109" s="149"/>
      <c r="O109" s="106"/>
      <c r="P109" s="150"/>
      <c r="Q109" s="107"/>
      <c r="R109" s="2"/>
      <c r="S109" s="151"/>
      <c r="T109" s="151"/>
      <c r="U109" s="122"/>
      <c r="V109" s="152"/>
      <c r="W109" s="151"/>
      <c r="X109" s="151"/>
      <c r="Y109" s="151"/>
      <c r="Z109" s="151"/>
      <c r="AA109" s="15"/>
    </row>
    <row r="110" spans="1:27" s="10" customFormat="1" ht="14.25" hidden="1" customHeight="1" x14ac:dyDescent="0.2">
      <c r="A110" s="134"/>
      <c r="B110" s="146"/>
      <c r="C110" s="54"/>
      <c r="D110" s="101"/>
      <c r="E110" s="38"/>
      <c r="F110" s="138"/>
      <c r="G110" s="138"/>
      <c r="H110" s="40"/>
      <c r="I110" s="48"/>
      <c r="J110" s="41"/>
      <c r="K110" s="2"/>
      <c r="L110" s="153"/>
      <c r="M110" s="148"/>
      <c r="N110" s="149"/>
      <c r="O110" s="106"/>
      <c r="P110" s="150"/>
      <c r="Q110" s="107"/>
      <c r="R110" s="2"/>
      <c r="S110" s="151"/>
      <c r="T110" s="151"/>
      <c r="U110" s="122"/>
      <c r="V110" s="152"/>
      <c r="W110" s="151"/>
      <c r="X110" s="151"/>
      <c r="Y110" s="151"/>
      <c r="Z110" s="151"/>
      <c r="AA110" s="15"/>
    </row>
    <row r="111" spans="1:27" s="10" customFormat="1" ht="14.25" hidden="1" customHeight="1" x14ac:dyDescent="0.2">
      <c r="A111" s="134"/>
      <c r="B111" s="146"/>
      <c r="C111" s="54"/>
      <c r="D111" s="101"/>
      <c r="E111" s="38"/>
      <c r="F111" s="138"/>
      <c r="G111" s="138"/>
      <c r="H111" s="40"/>
      <c r="I111" s="48"/>
      <c r="J111" s="41"/>
      <c r="K111" s="2"/>
      <c r="L111" s="153"/>
      <c r="M111" s="148"/>
      <c r="N111" s="149"/>
      <c r="O111" s="106"/>
      <c r="P111" s="150"/>
      <c r="Q111" s="107"/>
      <c r="R111" s="2"/>
      <c r="S111" s="151"/>
      <c r="T111" s="151"/>
      <c r="U111" s="122"/>
      <c r="V111" s="152"/>
      <c r="W111" s="151"/>
      <c r="X111" s="151"/>
      <c r="Y111" s="151"/>
      <c r="Z111" s="151"/>
      <c r="AA111" s="15"/>
    </row>
    <row r="112" spans="1:27" s="10" customFormat="1" ht="14.25" hidden="1" customHeight="1" x14ac:dyDescent="0.2">
      <c r="A112" s="134"/>
      <c r="B112" s="146"/>
      <c r="C112" s="54"/>
      <c r="D112" s="101"/>
      <c r="E112" s="38"/>
      <c r="F112" s="138"/>
      <c r="G112" s="138"/>
      <c r="H112" s="40"/>
      <c r="I112" s="48"/>
      <c r="J112" s="41"/>
      <c r="K112" s="2"/>
      <c r="L112" s="153"/>
      <c r="M112" s="148"/>
      <c r="N112" s="149"/>
      <c r="O112" s="106"/>
      <c r="P112" s="150"/>
      <c r="Q112" s="107"/>
      <c r="R112" s="2"/>
      <c r="S112" s="151"/>
      <c r="T112" s="151"/>
      <c r="U112" s="122"/>
      <c r="V112" s="152"/>
      <c r="W112" s="151"/>
      <c r="X112" s="151"/>
      <c r="Y112" s="151"/>
      <c r="Z112" s="151"/>
      <c r="AA112" s="15"/>
    </row>
    <row r="113" spans="1:27" s="10" customFormat="1" ht="14.25" hidden="1" customHeight="1" x14ac:dyDescent="0.2">
      <c r="A113" s="134"/>
      <c r="B113" s="146"/>
      <c r="C113" s="54"/>
      <c r="D113" s="101"/>
      <c r="E113" s="38"/>
      <c r="F113" s="138"/>
      <c r="G113" s="138"/>
      <c r="H113" s="40"/>
      <c r="I113" s="48"/>
      <c r="J113" s="41"/>
      <c r="K113" s="2"/>
      <c r="L113" s="153"/>
      <c r="M113" s="148"/>
      <c r="N113" s="149"/>
      <c r="O113" s="106"/>
      <c r="P113" s="150"/>
      <c r="Q113" s="107"/>
      <c r="R113" s="2"/>
      <c r="S113" s="151"/>
      <c r="T113" s="151"/>
      <c r="U113" s="122"/>
      <c r="V113" s="152"/>
      <c r="W113" s="151"/>
      <c r="X113" s="151"/>
      <c r="Y113" s="151"/>
      <c r="Z113" s="151"/>
      <c r="AA113" s="15"/>
    </row>
    <row r="114" spans="1:27" s="10" customFormat="1" ht="14.25" hidden="1" customHeight="1" x14ac:dyDescent="0.2">
      <c r="A114" s="134"/>
      <c r="B114" s="146"/>
      <c r="C114" s="54"/>
      <c r="D114" s="101"/>
      <c r="E114" s="38"/>
      <c r="F114" s="138"/>
      <c r="G114" s="138"/>
      <c r="H114" s="40"/>
      <c r="I114" s="48"/>
      <c r="J114" s="41"/>
      <c r="K114" s="2"/>
      <c r="L114" s="153"/>
      <c r="M114" s="148"/>
      <c r="N114" s="149"/>
      <c r="O114" s="106"/>
      <c r="P114" s="150"/>
      <c r="Q114" s="107"/>
      <c r="R114" s="2"/>
      <c r="S114" s="151"/>
      <c r="T114" s="151"/>
      <c r="U114" s="122"/>
      <c r="V114" s="152"/>
      <c r="W114" s="151"/>
      <c r="X114" s="151"/>
      <c r="Y114" s="151"/>
      <c r="Z114" s="151"/>
      <c r="AA114" s="15"/>
    </row>
    <row r="115" spans="1:27" s="10" customFormat="1" ht="14.25" hidden="1" customHeight="1" x14ac:dyDescent="0.2">
      <c r="A115" s="134"/>
      <c r="B115" s="154"/>
      <c r="C115" s="54"/>
      <c r="D115" s="155"/>
      <c r="E115" s="38"/>
      <c r="F115" s="156"/>
      <c r="G115" s="156"/>
      <c r="H115" s="157"/>
      <c r="I115" s="158"/>
      <c r="J115" s="41"/>
      <c r="K115" s="112"/>
      <c r="L115" s="159"/>
      <c r="M115" s="160"/>
      <c r="N115" s="161"/>
      <c r="O115" s="113"/>
      <c r="P115" s="162"/>
      <c r="Q115" s="107"/>
      <c r="R115" s="112"/>
      <c r="S115" s="151"/>
      <c r="T115" s="151"/>
      <c r="U115" s="122"/>
      <c r="V115" s="163"/>
      <c r="W115" s="151"/>
      <c r="X115" s="151"/>
      <c r="Y115" s="151"/>
      <c r="Z115" s="151"/>
      <c r="AA115" s="15"/>
    </row>
    <row r="116" spans="1:27" s="10" customFormat="1" ht="14.25" hidden="1" customHeight="1" x14ac:dyDescent="0.2">
      <c r="A116" s="134"/>
      <c r="B116" s="154"/>
      <c r="C116" s="54"/>
      <c r="D116" s="155"/>
      <c r="E116" s="38"/>
      <c r="F116" s="156"/>
      <c r="G116" s="156"/>
      <c r="H116" s="157"/>
      <c r="I116" s="158"/>
      <c r="J116" s="41"/>
      <c r="K116" s="112"/>
      <c r="L116" s="159"/>
      <c r="M116" s="160"/>
      <c r="N116" s="161"/>
      <c r="O116" s="113"/>
      <c r="P116" s="162"/>
      <c r="Q116" s="107"/>
      <c r="R116" s="112"/>
      <c r="S116" s="151"/>
      <c r="T116" s="151"/>
      <c r="U116" s="122"/>
      <c r="V116" s="163"/>
      <c r="W116" s="151"/>
      <c r="X116" s="151"/>
      <c r="Y116" s="151"/>
      <c r="Z116" s="151"/>
      <c r="AA116" s="15"/>
    </row>
    <row r="117" spans="1:27" s="10" customFormat="1" ht="14.25" hidden="1" customHeight="1" x14ac:dyDescent="0.2">
      <c r="A117" s="134"/>
      <c r="B117" s="154"/>
      <c r="C117" s="54"/>
      <c r="D117" s="155"/>
      <c r="E117" s="38"/>
      <c r="F117" s="156"/>
      <c r="G117" s="156"/>
      <c r="H117" s="157"/>
      <c r="I117" s="158"/>
      <c r="J117" s="41"/>
      <c r="K117" s="112"/>
      <c r="L117" s="159"/>
      <c r="M117" s="160"/>
      <c r="N117" s="161"/>
      <c r="O117" s="113"/>
      <c r="P117" s="162"/>
      <c r="Q117" s="107"/>
      <c r="R117" s="112"/>
      <c r="S117" s="151"/>
      <c r="T117" s="151"/>
      <c r="U117" s="122"/>
      <c r="V117" s="163"/>
      <c r="W117" s="151"/>
      <c r="X117" s="151"/>
      <c r="Y117" s="151"/>
      <c r="Z117" s="151"/>
      <c r="AA117" s="15"/>
    </row>
    <row r="118" spans="1:27" s="10" customFormat="1" ht="14.25" hidden="1" customHeight="1" x14ac:dyDescent="0.2">
      <c r="A118" s="134"/>
      <c r="B118" s="154"/>
      <c r="C118" s="54"/>
      <c r="D118" s="155"/>
      <c r="E118" s="38"/>
      <c r="F118" s="156"/>
      <c r="G118" s="156"/>
      <c r="H118" s="157"/>
      <c r="I118" s="158"/>
      <c r="J118" s="41"/>
      <c r="K118" s="112"/>
      <c r="L118" s="159"/>
      <c r="M118" s="160"/>
      <c r="N118" s="161"/>
      <c r="O118" s="113"/>
      <c r="P118" s="162"/>
      <c r="Q118" s="107"/>
      <c r="R118" s="112"/>
      <c r="S118" s="151"/>
      <c r="T118" s="151"/>
      <c r="U118" s="122"/>
      <c r="V118" s="163"/>
      <c r="W118" s="151"/>
      <c r="X118" s="151"/>
      <c r="Y118" s="151"/>
      <c r="Z118" s="151"/>
      <c r="AA118" s="15"/>
    </row>
    <row r="119" spans="1:27" s="10" customFormat="1" ht="14.25" hidden="1" customHeight="1" x14ac:dyDescent="0.2">
      <c r="A119" s="134"/>
      <c r="B119" s="154"/>
      <c r="C119" s="54"/>
      <c r="D119" s="155"/>
      <c r="E119" s="38"/>
      <c r="F119" s="156"/>
      <c r="G119" s="156"/>
      <c r="H119" s="157"/>
      <c r="I119" s="158"/>
      <c r="J119" s="41"/>
      <c r="K119" s="112"/>
      <c r="L119" s="159"/>
      <c r="M119" s="160"/>
      <c r="N119" s="161"/>
      <c r="O119" s="113"/>
      <c r="P119" s="162"/>
      <c r="Q119" s="107"/>
      <c r="R119" s="112"/>
      <c r="S119" s="151"/>
      <c r="T119" s="151"/>
      <c r="U119" s="122"/>
      <c r="V119" s="163"/>
      <c r="W119" s="151"/>
      <c r="X119" s="151"/>
      <c r="Y119" s="151"/>
      <c r="Z119" s="151"/>
      <c r="AA119" s="15"/>
    </row>
    <row r="120" spans="1:27" s="10" customFormat="1" ht="14.25" hidden="1" customHeight="1" x14ac:dyDescent="0.2">
      <c r="A120" s="134"/>
      <c r="B120" s="154"/>
      <c r="C120" s="54"/>
      <c r="D120" s="155"/>
      <c r="E120" s="38"/>
      <c r="F120" s="156"/>
      <c r="G120" s="156"/>
      <c r="H120" s="157"/>
      <c r="I120" s="158"/>
      <c r="J120" s="41"/>
      <c r="K120" s="112"/>
      <c r="L120" s="159"/>
      <c r="M120" s="160"/>
      <c r="N120" s="161"/>
      <c r="O120" s="113"/>
      <c r="P120" s="162"/>
      <c r="Q120" s="107"/>
      <c r="R120" s="112"/>
      <c r="S120" s="151"/>
      <c r="T120" s="151"/>
      <c r="U120" s="122"/>
      <c r="V120" s="163"/>
      <c r="W120" s="151"/>
      <c r="X120" s="151"/>
      <c r="Y120" s="151"/>
      <c r="Z120" s="151"/>
      <c r="AA120" s="15"/>
    </row>
    <row r="121" spans="1:27" s="10" customFormat="1" ht="14.25" hidden="1" customHeight="1" x14ac:dyDescent="0.2">
      <c r="A121" s="134"/>
      <c r="B121" s="154"/>
      <c r="C121" s="54"/>
      <c r="D121" s="155"/>
      <c r="E121" s="38"/>
      <c r="F121" s="156"/>
      <c r="G121" s="156"/>
      <c r="H121" s="157"/>
      <c r="I121" s="158"/>
      <c r="J121" s="41"/>
      <c r="K121" s="112"/>
      <c r="L121" s="159"/>
      <c r="M121" s="160"/>
      <c r="N121" s="161"/>
      <c r="O121" s="113"/>
      <c r="P121" s="162"/>
      <c r="Q121" s="107"/>
      <c r="R121" s="112"/>
      <c r="S121" s="151"/>
      <c r="T121" s="151"/>
      <c r="U121" s="122"/>
      <c r="V121" s="163"/>
      <c r="W121" s="151"/>
      <c r="X121" s="151"/>
      <c r="Y121" s="151"/>
      <c r="Z121" s="151"/>
      <c r="AA121" s="15"/>
    </row>
    <row r="122" spans="1:27" s="10" customFormat="1" ht="14.25" hidden="1" customHeight="1" x14ac:dyDescent="0.2">
      <c r="A122" s="134"/>
      <c r="B122" s="154"/>
      <c r="C122" s="54"/>
      <c r="D122" s="155"/>
      <c r="E122" s="38"/>
      <c r="F122" s="156"/>
      <c r="G122" s="156"/>
      <c r="H122" s="157"/>
      <c r="I122" s="158"/>
      <c r="J122" s="41"/>
      <c r="K122" s="112"/>
      <c r="L122" s="159"/>
      <c r="M122" s="160"/>
      <c r="N122" s="161"/>
      <c r="O122" s="113"/>
      <c r="P122" s="162"/>
      <c r="Q122" s="107"/>
      <c r="R122" s="112"/>
      <c r="S122" s="151"/>
      <c r="T122" s="151"/>
      <c r="U122" s="122"/>
      <c r="V122" s="163"/>
      <c r="W122" s="151"/>
      <c r="X122" s="151"/>
      <c r="Y122" s="151"/>
      <c r="Z122" s="151"/>
      <c r="AA122" s="15"/>
    </row>
    <row r="123" spans="1:27" s="10" customFormat="1" ht="14.25" hidden="1" customHeight="1" x14ac:dyDescent="0.2">
      <c r="A123" s="134"/>
      <c r="B123" s="154"/>
      <c r="C123" s="54"/>
      <c r="D123" s="155"/>
      <c r="E123" s="38"/>
      <c r="F123" s="156"/>
      <c r="G123" s="156"/>
      <c r="H123" s="157"/>
      <c r="I123" s="158"/>
      <c r="J123" s="41"/>
      <c r="K123" s="112"/>
      <c r="L123" s="159"/>
      <c r="M123" s="160"/>
      <c r="N123" s="161"/>
      <c r="O123" s="113"/>
      <c r="P123" s="162"/>
      <c r="Q123" s="107"/>
      <c r="R123" s="112"/>
      <c r="S123" s="151"/>
      <c r="T123" s="151"/>
      <c r="U123" s="122"/>
      <c r="V123" s="163"/>
      <c r="W123" s="151"/>
      <c r="X123" s="151"/>
      <c r="Y123" s="151"/>
      <c r="Z123" s="151"/>
      <c r="AA123" s="15"/>
    </row>
    <row r="124" spans="1:27" s="10" customFormat="1" ht="14.25" hidden="1" customHeight="1" x14ac:dyDescent="0.2">
      <c r="A124" s="134"/>
      <c r="B124" s="154"/>
      <c r="C124" s="54"/>
      <c r="D124" s="155"/>
      <c r="E124" s="38"/>
      <c r="F124" s="156"/>
      <c r="G124" s="156"/>
      <c r="H124" s="157"/>
      <c r="I124" s="158"/>
      <c r="J124" s="41"/>
      <c r="K124" s="112"/>
      <c r="L124" s="159"/>
      <c r="M124" s="160"/>
      <c r="N124" s="161"/>
      <c r="O124" s="113"/>
      <c r="P124" s="162"/>
      <c r="Q124" s="107"/>
      <c r="R124" s="112"/>
      <c r="S124" s="151"/>
      <c r="T124" s="151"/>
      <c r="U124" s="122"/>
      <c r="V124" s="163"/>
      <c r="W124" s="151"/>
      <c r="X124" s="151"/>
      <c r="Y124" s="151"/>
      <c r="Z124" s="151"/>
      <c r="AA124" s="15"/>
    </row>
    <row r="125" spans="1:27" s="10" customFormat="1" ht="14.25" hidden="1" customHeight="1" x14ac:dyDescent="0.2">
      <c r="A125" s="134"/>
      <c r="B125" s="154"/>
      <c r="C125" s="54"/>
      <c r="D125" s="155"/>
      <c r="E125" s="38"/>
      <c r="F125" s="156"/>
      <c r="G125" s="156"/>
      <c r="H125" s="157"/>
      <c r="I125" s="158"/>
      <c r="J125" s="41"/>
      <c r="K125" s="112"/>
      <c r="L125" s="159"/>
      <c r="M125" s="160"/>
      <c r="N125" s="161"/>
      <c r="O125" s="113"/>
      <c r="P125" s="162"/>
      <c r="Q125" s="107"/>
      <c r="R125" s="112"/>
      <c r="S125" s="151"/>
      <c r="T125" s="151"/>
      <c r="U125" s="122"/>
      <c r="V125" s="163"/>
      <c r="W125" s="151"/>
      <c r="X125" s="151"/>
      <c r="Y125" s="151"/>
      <c r="Z125" s="151"/>
      <c r="AA125" s="15"/>
    </row>
    <row r="126" spans="1:27" s="10" customFormat="1" ht="14.25" hidden="1" customHeight="1" x14ac:dyDescent="0.2">
      <c r="A126" s="134"/>
      <c r="B126" s="154"/>
      <c r="C126" s="54"/>
      <c r="D126" s="155"/>
      <c r="E126" s="38"/>
      <c r="F126" s="156"/>
      <c r="G126" s="156"/>
      <c r="H126" s="157"/>
      <c r="I126" s="158"/>
      <c r="J126" s="41"/>
      <c r="K126" s="112"/>
      <c r="L126" s="159"/>
      <c r="M126" s="160"/>
      <c r="N126" s="161"/>
      <c r="O126" s="113"/>
      <c r="P126" s="162"/>
      <c r="Q126" s="107"/>
      <c r="R126" s="112"/>
      <c r="S126" s="151"/>
      <c r="T126" s="151"/>
      <c r="U126" s="122"/>
      <c r="V126" s="163"/>
      <c r="W126" s="151"/>
      <c r="X126" s="151"/>
      <c r="Y126" s="151"/>
      <c r="Z126" s="151"/>
      <c r="AA126" s="15"/>
    </row>
    <row r="127" spans="1:27" s="10" customFormat="1" ht="14.25" hidden="1" customHeight="1" x14ac:dyDescent="0.2">
      <c r="A127" s="134"/>
      <c r="B127" s="154"/>
      <c r="C127" s="54"/>
      <c r="D127" s="155"/>
      <c r="E127" s="38"/>
      <c r="F127" s="156"/>
      <c r="G127" s="156"/>
      <c r="H127" s="157"/>
      <c r="I127" s="158"/>
      <c r="J127" s="41"/>
      <c r="K127" s="112"/>
      <c r="L127" s="159"/>
      <c r="M127" s="160"/>
      <c r="N127" s="161"/>
      <c r="O127" s="113"/>
      <c r="P127" s="162"/>
      <c r="Q127" s="107"/>
      <c r="R127" s="112"/>
      <c r="S127" s="151"/>
      <c r="T127" s="151"/>
      <c r="U127" s="122"/>
      <c r="V127" s="163"/>
      <c r="W127" s="151"/>
      <c r="X127" s="151"/>
      <c r="Y127" s="151"/>
      <c r="Z127" s="151"/>
      <c r="AA127" s="15"/>
    </row>
    <row r="128" spans="1:27" s="10" customFormat="1" ht="14.25" hidden="1" customHeight="1" x14ac:dyDescent="0.2">
      <c r="A128" s="134"/>
      <c r="B128" s="154"/>
      <c r="C128" s="54"/>
      <c r="D128" s="155"/>
      <c r="E128" s="38"/>
      <c r="F128" s="156"/>
      <c r="G128" s="156"/>
      <c r="H128" s="157"/>
      <c r="I128" s="158"/>
      <c r="J128" s="41"/>
      <c r="K128" s="112"/>
      <c r="L128" s="159"/>
      <c r="M128" s="160"/>
      <c r="N128" s="161"/>
      <c r="O128" s="113"/>
      <c r="P128" s="162"/>
      <c r="Q128" s="107"/>
      <c r="R128" s="112"/>
      <c r="S128" s="151"/>
      <c r="T128" s="151"/>
      <c r="U128" s="122"/>
      <c r="V128" s="163"/>
      <c r="W128" s="151"/>
      <c r="X128" s="151"/>
      <c r="Y128" s="151"/>
      <c r="Z128" s="151"/>
      <c r="AA128" s="15"/>
    </row>
    <row r="129" spans="1:27" s="10" customFormat="1" ht="14.25" hidden="1" customHeight="1" x14ac:dyDescent="0.2">
      <c r="A129" s="134"/>
      <c r="B129" s="154"/>
      <c r="C129" s="54"/>
      <c r="D129" s="155"/>
      <c r="E129" s="38"/>
      <c r="F129" s="156"/>
      <c r="G129" s="156"/>
      <c r="H129" s="157"/>
      <c r="I129" s="158"/>
      <c r="J129" s="41"/>
      <c r="K129" s="112"/>
      <c r="L129" s="159"/>
      <c r="M129" s="160"/>
      <c r="N129" s="161"/>
      <c r="O129" s="113"/>
      <c r="P129" s="162"/>
      <c r="Q129" s="107"/>
      <c r="R129" s="112"/>
      <c r="S129" s="151"/>
      <c r="T129" s="151"/>
      <c r="U129" s="122"/>
      <c r="V129" s="163"/>
      <c r="W129" s="151"/>
      <c r="X129" s="151"/>
      <c r="Y129" s="151"/>
      <c r="Z129" s="151"/>
      <c r="AA129" s="15"/>
    </row>
    <row r="130" spans="1:27" s="10" customFormat="1" ht="14.25" hidden="1" customHeight="1" x14ac:dyDescent="0.2">
      <c r="A130" s="134"/>
      <c r="B130" s="154"/>
      <c r="C130" s="54"/>
      <c r="D130" s="155"/>
      <c r="E130" s="38"/>
      <c r="F130" s="156"/>
      <c r="G130" s="156"/>
      <c r="H130" s="157"/>
      <c r="I130" s="158"/>
      <c r="J130" s="41"/>
      <c r="K130" s="112"/>
      <c r="L130" s="159"/>
      <c r="M130" s="160"/>
      <c r="N130" s="161"/>
      <c r="O130" s="113"/>
      <c r="P130" s="162"/>
      <c r="Q130" s="107"/>
      <c r="R130" s="112"/>
      <c r="S130" s="151"/>
      <c r="T130" s="151"/>
      <c r="U130" s="122"/>
      <c r="V130" s="163"/>
      <c r="W130" s="151"/>
      <c r="X130" s="151"/>
      <c r="Y130" s="151"/>
      <c r="Z130" s="151"/>
      <c r="AA130" s="15"/>
    </row>
    <row r="131" spans="1:27" s="10" customFormat="1" ht="14.25" hidden="1" customHeight="1" x14ac:dyDescent="0.2">
      <c r="A131" s="134"/>
      <c r="B131" s="154"/>
      <c r="C131" s="54"/>
      <c r="D131" s="155"/>
      <c r="E131" s="38"/>
      <c r="F131" s="156"/>
      <c r="G131" s="156"/>
      <c r="H131" s="157"/>
      <c r="I131" s="158"/>
      <c r="J131" s="41"/>
      <c r="K131" s="112"/>
      <c r="L131" s="159"/>
      <c r="M131" s="160"/>
      <c r="N131" s="161"/>
      <c r="O131" s="113"/>
      <c r="P131" s="162"/>
      <c r="Q131" s="107"/>
      <c r="R131" s="112"/>
      <c r="S131" s="151"/>
      <c r="T131" s="151"/>
      <c r="U131" s="122"/>
      <c r="V131" s="163"/>
      <c r="W131" s="151"/>
      <c r="X131" s="151"/>
      <c r="Y131" s="151"/>
      <c r="Z131" s="151"/>
      <c r="AA131" s="15"/>
    </row>
    <row r="132" spans="1:27" s="10" customFormat="1" ht="14.25" hidden="1" customHeight="1" x14ac:dyDescent="0.2">
      <c r="A132" s="134"/>
      <c r="B132" s="154"/>
      <c r="C132" s="54"/>
      <c r="D132" s="155"/>
      <c r="E132" s="38"/>
      <c r="F132" s="156"/>
      <c r="G132" s="156"/>
      <c r="H132" s="157"/>
      <c r="I132" s="158"/>
      <c r="J132" s="41"/>
      <c r="K132" s="112"/>
      <c r="L132" s="159"/>
      <c r="M132" s="160"/>
      <c r="N132" s="161"/>
      <c r="O132" s="113"/>
      <c r="P132" s="162"/>
      <c r="Q132" s="107"/>
      <c r="R132" s="112"/>
      <c r="S132" s="151"/>
      <c r="T132" s="151"/>
      <c r="U132" s="122"/>
      <c r="V132" s="163"/>
      <c r="W132" s="151"/>
      <c r="X132" s="151"/>
      <c r="Y132" s="151"/>
      <c r="Z132" s="151"/>
      <c r="AA132" s="15"/>
    </row>
    <row r="133" spans="1:27" s="10" customFormat="1" ht="14.25" hidden="1" customHeight="1" x14ac:dyDescent="0.2">
      <c r="A133" s="134"/>
      <c r="B133" s="154"/>
      <c r="C133" s="54"/>
      <c r="D133" s="155"/>
      <c r="E133" s="38"/>
      <c r="F133" s="156"/>
      <c r="G133" s="156"/>
      <c r="H133" s="157"/>
      <c r="I133" s="158"/>
      <c r="J133" s="41"/>
      <c r="K133" s="112"/>
      <c r="L133" s="159"/>
      <c r="M133" s="160"/>
      <c r="N133" s="161"/>
      <c r="O133" s="113"/>
      <c r="P133" s="162"/>
      <c r="Q133" s="107"/>
      <c r="R133" s="112"/>
      <c r="S133" s="151"/>
      <c r="T133" s="151"/>
      <c r="U133" s="122"/>
      <c r="V133" s="163"/>
      <c r="W133" s="151"/>
      <c r="X133" s="151"/>
      <c r="Y133" s="151"/>
      <c r="Z133" s="151"/>
      <c r="AA133" s="15"/>
    </row>
    <row r="134" spans="1:27" s="10" customFormat="1" ht="14.25" hidden="1" customHeight="1" x14ac:dyDescent="0.2">
      <c r="A134" s="134"/>
      <c r="B134" s="154"/>
      <c r="C134" s="54"/>
      <c r="D134" s="155"/>
      <c r="E134" s="38"/>
      <c r="F134" s="156"/>
      <c r="G134" s="156"/>
      <c r="H134" s="157"/>
      <c r="I134" s="158"/>
      <c r="J134" s="41"/>
      <c r="K134" s="112"/>
      <c r="L134" s="159"/>
      <c r="M134" s="160"/>
      <c r="N134" s="161"/>
      <c r="O134" s="113"/>
      <c r="P134" s="162"/>
      <c r="Q134" s="107"/>
      <c r="R134" s="112"/>
      <c r="S134" s="151"/>
      <c r="T134" s="151"/>
      <c r="U134" s="122"/>
      <c r="V134" s="163"/>
      <c r="W134" s="151"/>
      <c r="X134" s="151"/>
      <c r="Y134" s="151"/>
      <c r="Z134" s="151"/>
      <c r="AA134" s="15"/>
    </row>
    <row r="135" spans="1:27" s="10" customFormat="1" ht="14.25" hidden="1" customHeight="1" x14ac:dyDescent="0.2">
      <c r="A135" s="134"/>
      <c r="B135" s="154"/>
      <c r="C135" s="54"/>
      <c r="D135" s="155"/>
      <c r="E135" s="38"/>
      <c r="F135" s="156"/>
      <c r="G135" s="156"/>
      <c r="H135" s="157"/>
      <c r="I135" s="158"/>
      <c r="J135" s="41"/>
      <c r="K135" s="112"/>
      <c r="L135" s="159"/>
      <c r="M135" s="160"/>
      <c r="N135" s="161"/>
      <c r="O135" s="113"/>
      <c r="P135" s="162"/>
      <c r="Q135" s="107"/>
      <c r="R135" s="112"/>
      <c r="S135" s="151"/>
      <c r="T135" s="151"/>
      <c r="U135" s="122"/>
      <c r="V135" s="163"/>
      <c r="W135" s="151"/>
      <c r="X135" s="151"/>
      <c r="Y135" s="151"/>
      <c r="Z135" s="151"/>
      <c r="AA135" s="15"/>
    </row>
    <row r="136" spans="1:27" s="10" customFormat="1" ht="14.25" hidden="1" customHeight="1" x14ac:dyDescent="0.2">
      <c r="A136" s="134"/>
      <c r="B136" s="154"/>
      <c r="C136" s="54"/>
      <c r="D136" s="155"/>
      <c r="E136" s="38"/>
      <c r="F136" s="156"/>
      <c r="G136" s="156"/>
      <c r="H136" s="157"/>
      <c r="I136" s="158"/>
      <c r="J136" s="41"/>
      <c r="K136" s="112"/>
      <c r="L136" s="159"/>
      <c r="M136" s="160"/>
      <c r="N136" s="161"/>
      <c r="O136" s="113"/>
      <c r="P136" s="162"/>
      <c r="Q136" s="107"/>
      <c r="R136" s="112"/>
      <c r="S136" s="151"/>
      <c r="T136" s="151"/>
      <c r="U136" s="122"/>
      <c r="V136" s="163"/>
      <c r="W136" s="151"/>
      <c r="X136" s="151"/>
      <c r="Y136" s="151"/>
      <c r="Z136" s="151"/>
      <c r="AA136" s="15"/>
    </row>
    <row r="137" spans="1:27" s="10" customFormat="1" ht="14.25" hidden="1" customHeight="1" x14ac:dyDescent="0.2">
      <c r="A137" s="134"/>
      <c r="B137" s="154"/>
      <c r="C137" s="54"/>
      <c r="D137" s="155"/>
      <c r="E137" s="38"/>
      <c r="F137" s="156"/>
      <c r="G137" s="156"/>
      <c r="H137" s="157"/>
      <c r="I137" s="158"/>
      <c r="J137" s="41"/>
      <c r="K137" s="112"/>
      <c r="L137" s="159"/>
      <c r="M137" s="160"/>
      <c r="N137" s="161"/>
      <c r="O137" s="113"/>
      <c r="P137" s="162"/>
      <c r="Q137" s="107"/>
      <c r="R137" s="112"/>
      <c r="S137" s="151"/>
      <c r="T137" s="151"/>
      <c r="U137" s="122"/>
      <c r="V137" s="163"/>
      <c r="W137" s="151"/>
      <c r="X137" s="151"/>
      <c r="Y137" s="151"/>
      <c r="Z137" s="151"/>
      <c r="AA137" s="15"/>
    </row>
    <row r="138" spans="1:27" s="10" customFormat="1" ht="14.25" hidden="1" customHeight="1" x14ac:dyDescent="0.2">
      <c r="A138" s="134"/>
      <c r="B138" s="154"/>
      <c r="C138" s="54"/>
      <c r="D138" s="155"/>
      <c r="E138" s="38"/>
      <c r="F138" s="156"/>
      <c r="G138" s="156"/>
      <c r="H138" s="157"/>
      <c r="I138" s="158"/>
      <c r="J138" s="41"/>
      <c r="K138" s="112"/>
      <c r="L138" s="159"/>
      <c r="M138" s="160"/>
      <c r="N138" s="161"/>
      <c r="O138" s="113"/>
      <c r="P138" s="162"/>
      <c r="Q138" s="107"/>
      <c r="R138" s="112"/>
      <c r="S138" s="151"/>
      <c r="T138" s="151"/>
      <c r="U138" s="122"/>
      <c r="V138" s="163"/>
      <c r="W138" s="151"/>
      <c r="X138" s="151"/>
      <c r="Y138" s="151"/>
      <c r="Z138" s="151"/>
      <c r="AA138" s="15"/>
    </row>
    <row r="139" spans="1:27" s="10" customFormat="1" ht="14.25" hidden="1" customHeight="1" x14ac:dyDescent="0.2">
      <c r="A139" s="134"/>
      <c r="B139" s="154"/>
      <c r="C139" s="54"/>
      <c r="D139" s="155"/>
      <c r="E139" s="38"/>
      <c r="F139" s="156"/>
      <c r="G139" s="156"/>
      <c r="H139" s="157"/>
      <c r="I139" s="158"/>
      <c r="J139" s="41"/>
      <c r="K139" s="112"/>
      <c r="L139" s="159"/>
      <c r="M139" s="160"/>
      <c r="N139" s="161"/>
      <c r="O139" s="113"/>
      <c r="P139" s="162"/>
      <c r="Q139" s="107"/>
      <c r="R139" s="112"/>
      <c r="S139" s="151"/>
      <c r="T139" s="151"/>
      <c r="U139" s="122"/>
      <c r="V139" s="163"/>
      <c r="W139" s="151"/>
      <c r="X139" s="151"/>
      <c r="Y139" s="151"/>
      <c r="Z139" s="151"/>
      <c r="AA139" s="15"/>
    </row>
    <row r="140" spans="1:27" s="10" customFormat="1" ht="14.25" hidden="1" customHeight="1" x14ac:dyDescent="0.2">
      <c r="A140" s="134"/>
      <c r="B140" s="154"/>
      <c r="C140" s="54"/>
      <c r="D140" s="155"/>
      <c r="E140" s="38"/>
      <c r="F140" s="156"/>
      <c r="G140" s="156"/>
      <c r="H140" s="157"/>
      <c r="I140" s="158"/>
      <c r="J140" s="41"/>
      <c r="K140" s="112"/>
      <c r="L140" s="159"/>
      <c r="M140" s="160"/>
      <c r="N140" s="161"/>
      <c r="O140" s="113"/>
      <c r="P140" s="162"/>
      <c r="Q140" s="107"/>
      <c r="R140" s="112"/>
      <c r="S140" s="151"/>
      <c r="T140" s="151"/>
      <c r="U140" s="122"/>
      <c r="V140" s="163"/>
      <c r="W140" s="151"/>
      <c r="X140" s="151"/>
      <c r="Y140" s="151"/>
      <c r="Z140" s="151"/>
      <c r="AA140" s="15"/>
    </row>
    <row r="141" spans="1:27" s="10" customFormat="1" ht="14.25" hidden="1" customHeight="1" x14ac:dyDescent="0.2">
      <c r="A141" s="134"/>
      <c r="B141" s="154"/>
      <c r="C141" s="54"/>
      <c r="D141" s="155"/>
      <c r="E141" s="38"/>
      <c r="F141" s="156"/>
      <c r="G141" s="156"/>
      <c r="H141" s="157"/>
      <c r="I141" s="158"/>
      <c r="J141" s="41"/>
      <c r="K141" s="112"/>
      <c r="L141" s="159"/>
      <c r="M141" s="160"/>
      <c r="N141" s="161"/>
      <c r="O141" s="113"/>
      <c r="P141" s="162"/>
      <c r="Q141" s="107"/>
      <c r="R141" s="112"/>
      <c r="S141" s="151"/>
      <c r="T141" s="151"/>
      <c r="U141" s="122"/>
      <c r="V141" s="163"/>
      <c r="W141" s="151"/>
      <c r="X141" s="151"/>
      <c r="Y141" s="151"/>
      <c r="Z141" s="151"/>
      <c r="AA141" s="15"/>
    </row>
    <row r="142" spans="1:27" s="10" customFormat="1" ht="14.25" hidden="1" customHeight="1" x14ac:dyDescent="0.2">
      <c r="A142" s="134"/>
      <c r="B142" s="154"/>
      <c r="C142" s="54"/>
      <c r="D142" s="155"/>
      <c r="E142" s="38"/>
      <c r="F142" s="156"/>
      <c r="G142" s="156"/>
      <c r="H142" s="157"/>
      <c r="I142" s="158"/>
      <c r="J142" s="41"/>
      <c r="K142" s="112"/>
      <c r="L142" s="159"/>
      <c r="M142" s="160"/>
      <c r="N142" s="161"/>
      <c r="O142" s="113"/>
      <c r="P142" s="162"/>
      <c r="Q142" s="107"/>
      <c r="R142" s="112"/>
      <c r="S142" s="151"/>
      <c r="T142" s="151"/>
      <c r="U142" s="122"/>
      <c r="V142" s="163"/>
      <c r="W142" s="151"/>
      <c r="X142" s="151"/>
      <c r="Y142" s="151"/>
      <c r="Z142" s="151"/>
      <c r="AA142" s="15"/>
    </row>
    <row r="143" spans="1:27" s="10" customFormat="1" ht="14.25" hidden="1" customHeight="1" x14ac:dyDescent="0.2">
      <c r="A143" s="134"/>
      <c r="B143" s="154"/>
      <c r="C143" s="54"/>
      <c r="D143" s="155"/>
      <c r="E143" s="38"/>
      <c r="F143" s="156"/>
      <c r="G143" s="156"/>
      <c r="H143" s="157"/>
      <c r="I143" s="158"/>
      <c r="J143" s="41"/>
      <c r="K143" s="112"/>
      <c r="L143" s="159"/>
      <c r="M143" s="160"/>
      <c r="N143" s="161"/>
      <c r="O143" s="113"/>
      <c r="P143" s="162"/>
      <c r="Q143" s="107"/>
      <c r="R143" s="112"/>
      <c r="S143" s="151"/>
      <c r="T143" s="151"/>
      <c r="U143" s="122"/>
      <c r="V143" s="163"/>
      <c r="W143" s="151"/>
      <c r="X143" s="151"/>
      <c r="Y143" s="151"/>
      <c r="Z143" s="151"/>
      <c r="AA143" s="15"/>
    </row>
    <row r="144" spans="1:27" s="10" customFormat="1" ht="14.25" hidden="1" customHeight="1" x14ac:dyDescent="0.2">
      <c r="A144" s="134"/>
      <c r="B144" s="154"/>
      <c r="C144" s="54"/>
      <c r="D144" s="155"/>
      <c r="E144" s="38"/>
      <c r="F144" s="156"/>
      <c r="G144" s="156"/>
      <c r="H144" s="157"/>
      <c r="I144" s="158"/>
      <c r="J144" s="41"/>
      <c r="K144" s="112"/>
      <c r="L144" s="159"/>
      <c r="M144" s="160"/>
      <c r="N144" s="161"/>
      <c r="O144" s="113"/>
      <c r="P144" s="162"/>
      <c r="Q144" s="107"/>
      <c r="R144" s="112"/>
      <c r="S144" s="151"/>
      <c r="T144" s="151"/>
      <c r="U144" s="122"/>
      <c r="V144" s="163"/>
      <c r="W144" s="151"/>
      <c r="X144" s="151"/>
      <c r="Y144" s="151"/>
      <c r="Z144" s="151"/>
      <c r="AA144" s="15"/>
    </row>
    <row r="145" spans="1:27" s="10" customFormat="1" ht="14.25" hidden="1" customHeight="1" x14ac:dyDescent="0.2">
      <c r="A145" s="134"/>
      <c r="B145" s="154"/>
      <c r="C145" s="54"/>
      <c r="D145" s="155"/>
      <c r="E145" s="38"/>
      <c r="F145" s="156"/>
      <c r="G145" s="156"/>
      <c r="H145" s="157"/>
      <c r="I145" s="158"/>
      <c r="J145" s="41"/>
      <c r="K145" s="112"/>
      <c r="L145" s="159"/>
      <c r="M145" s="160"/>
      <c r="N145" s="161"/>
      <c r="O145" s="113"/>
      <c r="P145" s="162"/>
      <c r="Q145" s="107"/>
      <c r="R145" s="112"/>
      <c r="S145" s="151"/>
      <c r="T145" s="151"/>
      <c r="U145" s="122"/>
      <c r="V145" s="163"/>
      <c r="W145" s="151"/>
      <c r="X145" s="151"/>
      <c r="Y145" s="151"/>
      <c r="Z145" s="151"/>
      <c r="AA145" s="15"/>
    </row>
    <row r="146" spans="1:27" s="10" customFormat="1" ht="14.25" hidden="1" customHeight="1" x14ac:dyDescent="0.2">
      <c r="A146" s="134"/>
      <c r="B146" s="154"/>
      <c r="C146" s="54"/>
      <c r="D146" s="155"/>
      <c r="E146" s="38"/>
      <c r="F146" s="156"/>
      <c r="G146" s="156"/>
      <c r="H146" s="157"/>
      <c r="I146" s="158"/>
      <c r="J146" s="41"/>
      <c r="K146" s="112"/>
      <c r="L146" s="159"/>
      <c r="M146" s="160"/>
      <c r="N146" s="161"/>
      <c r="O146" s="113"/>
      <c r="P146" s="162"/>
      <c r="Q146" s="107"/>
      <c r="R146" s="112"/>
      <c r="S146" s="151"/>
      <c r="T146" s="151"/>
      <c r="U146" s="122"/>
      <c r="V146" s="163"/>
      <c r="W146" s="151"/>
      <c r="X146" s="151"/>
      <c r="Y146" s="151"/>
      <c r="Z146" s="151"/>
      <c r="AA146" s="15"/>
    </row>
    <row r="147" spans="1:27" s="10" customFormat="1" ht="14.25" hidden="1" customHeight="1" x14ac:dyDescent="0.2">
      <c r="A147" s="134"/>
      <c r="B147" s="154"/>
      <c r="C147" s="54"/>
      <c r="D147" s="155"/>
      <c r="E147" s="38"/>
      <c r="F147" s="156"/>
      <c r="G147" s="156"/>
      <c r="H147" s="157"/>
      <c r="I147" s="158"/>
      <c r="J147" s="41"/>
      <c r="K147" s="112"/>
      <c r="L147" s="159"/>
      <c r="M147" s="160"/>
      <c r="N147" s="161"/>
      <c r="O147" s="113"/>
      <c r="P147" s="162"/>
      <c r="Q147" s="107"/>
      <c r="R147" s="112"/>
      <c r="S147" s="151"/>
      <c r="T147" s="151"/>
      <c r="U147" s="122"/>
      <c r="V147" s="163"/>
      <c r="W147" s="151"/>
      <c r="X147" s="151"/>
      <c r="Y147" s="151"/>
      <c r="Z147" s="151"/>
      <c r="AA147" s="15"/>
    </row>
    <row r="148" spans="1:27" s="10" customFormat="1" ht="14.25" hidden="1" customHeight="1" x14ac:dyDescent="0.2">
      <c r="A148" s="134"/>
      <c r="B148" s="154"/>
      <c r="C148" s="54"/>
      <c r="D148" s="155"/>
      <c r="E148" s="38"/>
      <c r="F148" s="156"/>
      <c r="G148" s="156"/>
      <c r="H148" s="157"/>
      <c r="I148" s="158"/>
      <c r="J148" s="41"/>
      <c r="K148" s="112"/>
      <c r="L148" s="159"/>
      <c r="M148" s="160"/>
      <c r="N148" s="161"/>
      <c r="O148" s="113"/>
      <c r="P148" s="162"/>
      <c r="Q148" s="107"/>
      <c r="R148" s="112"/>
      <c r="S148" s="151"/>
      <c r="T148" s="151"/>
      <c r="U148" s="122"/>
      <c r="V148" s="163"/>
      <c r="W148" s="151"/>
      <c r="X148" s="151"/>
      <c r="Y148" s="151"/>
      <c r="Z148" s="151"/>
      <c r="AA148" s="15"/>
    </row>
    <row r="149" spans="1:27" s="10" customFormat="1" ht="14.25" hidden="1" customHeight="1" x14ac:dyDescent="0.2">
      <c r="A149" s="134"/>
      <c r="B149" s="154"/>
      <c r="C149" s="54"/>
      <c r="D149" s="155"/>
      <c r="E149" s="38"/>
      <c r="F149" s="156"/>
      <c r="G149" s="156"/>
      <c r="H149" s="157"/>
      <c r="I149" s="158"/>
      <c r="J149" s="41"/>
      <c r="K149" s="112"/>
      <c r="L149" s="159"/>
      <c r="M149" s="160"/>
      <c r="N149" s="161"/>
      <c r="O149" s="113"/>
      <c r="P149" s="162"/>
      <c r="Q149" s="107"/>
      <c r="R149" s="112"/>
      <c r="S149" s="151"/>
      <c r="T149" s="151"/>
      <c r="U149" s="122"/>
      <c r="V149" s="163"/>
      <c r="W149" s="151"/>
      <c r="X149" s="151"/>
      <c r="Y149" s="151"/>
      <c r="Z149" s="151"/>
      <c r="AA149" s="15"/>
    </row>
    <row r="150" spans="1:27" s="10" customFormat="1" ht="14.25" hidden="1" customHeight="1" x14ac:dyDescent="0.2">
      <c r="A150" s="134"/>
      <c r="B150" s="154"/>
      <c r="C150" s="54"/>
      <c r="D150" s="155"/>
      <c r="E150" s="38"/>
      <c r="F150" s="156"/>
      <c r="G150" s="156"/>
      <c r="H150" s="157"/>
      <c r="I150" s="158"/>
      <c r="J150" s="41"/>
      <c r="K150" s="112"/>
      <c r="L150" s="159"/>
      <c r="M150" s="160"/>
      <c r="N150" s="161"/>
      <c r="O150" s="113"/>
      <c r="P150" s="162"/>
      <c r="Q150" s="107"/>
      <c r="R150" s="112"/>
      <c r="S150" s="151"/>
      <c r="T150" s="151"/>
      <c r="U150" s="122"/>
      <c r="V150" s="163"/>
      <c r="W150" s="151"/>
      <c r="X150" s="151"/>
      <c r="Y150" s="151"/>
      <c r="Z150" s="151"/>
      <c r="AA150" s="15"/>
    </row>
    <row r="151" spans="1:27" s="10" customFormat="1" ht="14.25" hidden="1" customHeight="1" x14ac:dyDescent="0.2">
      <c r="A151" s="134"/>
      <c r="B151" s="154"/>
      <c r="C151" s="54"/>
      <c r="D151" s="155"/>
      <c r="E151" s="38"/>
      <c r="F151" s="156"/>
      <c r="G151" s="156"/>
      <c r="H151" s="157"/>
      <c r="I151" s="158"/>
      <c r="J151" s="41"/>
      <c r="K151" s="112"/>
      <c r="L151" s="159"/>
      <c r="M151" s="160"/>
      <c r="N151" s="161"/>
      <c r="O151" s="113"/>
      <c r="P151" s="162"/>
      <c r="Q151" s="107"/>
      <c r="R151" s="112"/>
      <c r="S151" s="151"/>
      <c r="T151" s="151"/>
      <c r="U151" s="122"/>
      <c r="V151" s="163"/>
      <c r="W151" s="151"/>
      <c r="X151" s="151"/>
      <c r="Y151" s="151"/>
      <c r="Z151" s="151"/>
      <c r="AA151" s="15"/>
    </row>
    <row r="152" spans="1:27" s="10" customFormat="1" ht="14.25" hidden="1" customHeight="1" x14ac:dyDescent="0.2">
      <c r="A152" s="134"/>
      <c r="B152" s="154"/>
      <c r="C152" s="54"/>
      <c r="D152" s="155"/>
      <c r="E152" s="38"/>
      <c r="F152" s="156"/>
      <c r="G152" s="156"/>
      <c r="H152" s="157"/>
      <c r="I152" s="158"/>
      <c r="J152" s="41"/>
      <c r="K152" s="112"/>
      <c r="L152" s="159"/>
      <c r="M152" s="160"/>
      <c r="N152" s="161"/>
      <c r="O152" s="113"/>
      <c r="P152" s="162"/>
      <c r="Q152" s="107"/>
      <c r="R152" s="112"/>
      <c r="S152" s="151"/>
      <c r="T152" s="151"/>
      <c r="U152" s="122"/>
      <c r="V152" s="163"/>
      <c r="W152" s="151"/>
      <c r="X152" s="151"/>
      <c r="Y152" s="151"/>
      <c r="Z152" s="151"/>
      <c r="AA152" s="15"/>
    </row>
    <row r="153" spans="1:27" s="10" customFormat="1" ht="14.25" hidden="1" customHeight="1" x14ac:dyDescent="0.2">
      <c r="A153" s="134"/>
      <c r="B153" s="154"/>
      <c r="C153" s="54"/>
      <c r="D153" s="155"/>
      <c r="E153" s="38"/>
      <c r="F153" s="156"/>
      <c r="G153" s="156"/>
      <c r="H153" s="157"/>
      <c r="I153" s="158"/>
      <c r="J153" s="41"/>
      <c r="K153" s="112"/>
      <c r="L153" s="159"/>
      <c r="M153" s="160"/>
      <c r="N153" s="161"/>
      <c r="O153" s="113"/>
      <c r="P153" s="162"/>
      <c r="Q153" s="107"/>
      <c r="R153" s="112"/>
      <c r="S153" s="151"/>
      <c r="T153" s="151"/>
      <c r="U153" s="122"/>
      <c r="V153" s="163"/>
      <c r="W153" s="151"/>
      <c r="X153" s="151"/>
      <c r="Y153" s="151"/>
      <c r="Z153" s="151"/>
      <c r="AA153" s="15"/>
    </row>
    <row r="154" spans="1:27" s="10" customFormat="1" ht="14.25" hidden="1" customHeight="1" x14ac:dyDescent="0.2">
      <c r="A154" s="134"/>
      <c r="B154" s="154"/>
      <c r="C154" s="54"/>
      <c r="D154" s="155"/>
      <c r="E154" s="38"/>
      <c r="F154" s="156"/>
      <c r="G154" s="156"/>
      <c r="H154" s="157"/>
      <c r="I154" s="158"/>
      <c r="J154" s="41"/>
      <c r="K154" s="112"/>
      <c r="L154" s="159"/>
      <c r="M154" s="160"/>
      <c r="N154" s="161"/>
      <c r="O154" s="113"/>
      <c r="P154" s="162"/>
      <c r="Q154" s="107"/>
      <c r="R154" s="112"/>
      <c r="S154" s="151"/>
      <c r="T154" s="151"/>
      <c r="U154" s="122"/>
      <c r="V154" s="163"/>
      <c r="W154" s="151"/>
      <c r="X154" s="151"/>
      <c r="Y154" s="151"/>
      <c r="Z154" s="151"/>
      <c r="AA154" s="15"/>
    </row>
    <row r="155" spans="1:27" s="10" customFormat="1" ht="14.25" hidden="1" customHeight="1" x14ac:dyDescent="0.2">
      <c r="A155" s="134"/>
      <c r="B155" s="154"/>
      <c r="C155" s="54"/>
      <c r="D155" s="155"/>
      <c r="E155" s="38"/>
      <c r="F155" s="156"/>
      <c r="G155" s="156"/>
      <c r="H155" s="157"/>
      <c r="I155" s="158"/>
      <c r="J155" s="41"/>
      <c r="K155" s="112"/>
      <c r="L155" s="159"/>
      <c r="M155" s="160"/>
      <c r="N155" s="161"/>
      <c r="O155" s="113"/>
      <c r="P155" s="162"/>
      <c r="Q155" s="107"/>
      <c r="R155" s="112"/>
      <c r="S155" s="151"/>
      <c r="T155" s="151"/>
      <c r="U155" s="122"/>
      <c r="V155" s="163"/>
      <c r="W155" s="151"/>
      <c r="X155" s="151"/>
      <c r="Y155" s="151"/>
      <c r="Z155" s="151"/>
      <c r="AA155" s="15"/>
    </row>
    <row r="156" spans="1:27" s="10" customFormat="1" ht="14.25" hidden="1" customHeight="1" x14ac:dyDescent="0.2">
      <c r="A156" s="134"/>
      <c r="B156" s="154"/>
      <c r="C156" s="54"/>
      <c r="D156" s="155"/>
      <c r="E156" s="38"/>
      <c r="F156" s="156"/>
      <c r="G156" s="156"/>
      <c r="H156" s="157"/>
      <c r="I156" s="158"/>
      <c r="J156" s="41"/>
      <c r="K156" s="112"/>
      <c r="L156" s="159"/>
      <c r="M156" s="160"/>
      <c r="N156" s="161"/>
      <c r="O156" s="113"/>
      <c r="P156" s="162"/>
      <c r="Q156" s="107"/>
      <c r="R156" s="112"/>
      <c r="S156" s="151"/>
      <c r="T156" s="151"/>
      <c r="U156" s="122"/>
      <c r="V156" s="163"/>
      <c r="W156" s="151"/>
      <c r="X156" s="151"/>
      <c r="Y156" s="151"/>
      <c r="Z156" s="151"/>
      <c r="AA156" s="15"/>
    </row>
    <row r="157" spans="1:27" s="10" customFormat="1" ht="14.25" hidden="1" customHeight="1" x14ac:dyDescent="0.2">
      <c r="A157" s="134"/>
      <c r="B157" s="154"/>
      <c r="C157" s="54"/>
      <c r="D157" s="155"/>
      <c r="E157" s="38"/>
      <c r="F157" s="156"/>
      <c r="G157" s="156"/>
      <c r="H157" s="157"/>
      <c r="I157" s="158"/>
      <c r="J157" s="41"/>
      <c r="K157" s="112"/>
      <c r="L157" s="159"/>
      <c r="M157" s="160"/>
      <c r="N157" s="161"/>
      <c r="O157" s="113"/>
      <c r="P157" s="162"/>
      <c r="Q157" s="107"/>
      <c r="R157" s="112"/>
      <c r="S157" s="151"/>
      <c r="T157" s="151"/>
      <c r="U157" s="122"/>
      <c r="V157" s="163"/>
      <c r="W157" s="151"/>
      <c r="X157" s="151"/>
      <c r="Y157" s="151"/>
      <c r="Z157" s="151"/>
      <c r="AA157" s="15"/>
    </row>
    <row r="158" spans="1:27" s="10" customFormat="1" ht="14.25" hidden="1" customHeight="1" x14ac:dyDescent="0.2">
      <c r="A158" s="134"/>
      <c r="B158" s="154"/>
      <c r="C158" s="54"/>
      <c r="D158" s="155"/>
      <c r="E158" s="38"/>
      <c r="F158" s="156"/>
      <c r="G158" s="156"/>
      <c r="H158" s="157"/>
      <c r="I158" s="158"/>
      <c r="J158" s="41"/>
      <c r="K158" s="112"/>
      <c r="L158" s="159"/>
      <c r="M158" s="160"/>
      <c r="N158" s="161"/>
      <c r="O158" s="113"/>
      <c r="P158" s="162"/>
      <c r="Q158" s="107"/>
      <c r="R158" s="112"/>
      <c r="S158" s="151"/>
      <c r="T158" s="151"/>
      <c r="U158" s="122"/>
      <c r="V158" s="163"/>
      <c r="W158" s="151"/>
      <c r="X158" s="151"/>
      <c r="Y158" s="151"/>
      <c r="Z158" s="151"/>
      <c r="AA158" s="15"/>
    </row>
    <row r="159" spans="1:27" s="10" customFormat="1" ht="14.25" hidden="1" customHeight="1" x14ac:dyDescent="0.2">
      <c r="A159" s="134"/>
      <c r="B159" s="154"/>
      <c r="C159" s="54"/>
      <c r="D159" s="155"/>
      <c r="E159" s="38"/>
      <c r="F159" s="156"/>
      <c r="G159" s="156"/>
      <c r="H159" s="157"/>
      <c r="I159" s="158"/>
      <c r="J159" s="41"/>
      <c r="K159" s="112"/>
      <c r="L159" s="159"/>
      <c r="M159" s="160"/>
      <c r="N159" s="161"/>
      <c r="O159" s="113"/>
      <c r="P159" s="162"/>
      <c r="Q159" s="107"/>
      <c r="R159" s="112"/>
      <c r="S159" s="151"/>
      <c r="T159" s="151"/>
      <c r="U159" s="122"/>
      <c r="V159" s="163"/>
      <c r="W159" s="151"/>
      <c r="X159" s="151"/>
      <c r="Y159" s="151"/>
      <c r="Z159" s="151"/>
      <c r="AA159" s="15"/>
    </row>
    <row r="160" spans="1:27" s="10" customFormat="1" ht="14.25" hidden="1" customHeight="1" x14ac:dyDescent="0.2">
      <c r="A160" s="134"/>
      <c r="B160" s="154"/>
      <c r="C160" s="54"/>
      <c r="D160" s="155"/>
      <c r="E160" s="38"/>
      <c r="F160" s="156"/>
      <c r="G160" s="156"/>
      <c r="H160" s="157"/>
      <c r="I160" s="158"/>
      <c r="J160" s="41"/>
      <c r="K160" s="112"/>
      <c r="L160" s="159"/>
      <c r="M160" s="160"/>
      <c r="N160" s="161"/>
      <c r="O160" s="113"/>
      <c r="P160" s="162"/>
      <c r="Q160" s="107"/>
      <c r="R160" s="112"/>
      <c r="S160" s="151"/>
      <c r="T160" s="151"/>
      <c r="U160" s="122"/>
      <c r="V160" s="163"/>
      <c r="W160" s="151"/>
      <c r="X160" s="151"/>
      <c r="Y160" s="151"/>
      <c r="Z160" s="151"/>
      <c r="AA160" s="15"/>
    </row>
    <row r="161" spans="1:27" s="10" customFormat="1" ht="14.25" hidden="1" customHeight="1" x14ac:dyDescent="0.2">
      <c r="A161" s="134"/>
      <c r="B161" s="154"/>
      <c r="C161" s="54"/>
      <c r="D161" s="155"/>
      <c r="E161" s="38"/>
      <c r="F161" s="156"/>
      <c r="G161" s="156"/>
      <c r="H161" s="157"/>
      <c r="I161" s="158"/>
      <c r="J161" s="41"/>
      <c r="K161" s="112"/>
      <c r="L161" s="159"/>
      <c r="M161" s="160"/>
      <c r="N161" s="161"/>
      <c r="O161" s="113"/>
      <c r="P161" s="162"/>
      <c r="Q161" s="107"/>
      <c r="R161" s="112"/>
      <c r="S161" s="151"/>
      <c r="T161" s="151"/>
      <c r="U161" s="122"/>
      <c r="V161" s="163"/>
      <c r="W161" s="151"/>
      <c r="X161" s="151"/>
      <c r="Y161" s="151"/>
      <c r="Z161" s="151"/>
      <c r="AA161" s="15"/>
    </row>
    <row r="162" spans="1:27" s="10" customFormat="1" ht="14.25" hidden="1" customHeight="1" x14ac:dyDescent="0.2">
      <c r="A162" s="134"/>
      <c r="B162" s="154"/>
      <c r="C162" s="54"/>
      <c r="D162" s="155"/>
      <c r="E162" s="38"/>
      <c r="F162" s="156"/>
      <c r="G162" s="156"/>
      <c r="H162" s="157"/>
      <c r="I162" s="158"/>
      <c r="J162" s="41"/>
      <c r="K162" s="112"/>
      <c r="L162" s="159"/>
      <c r="M162" s="160"/>
      <c r="N162" s="161"/>
      <c r="O162" s="113"/>
      <c r="P162" s="162"/>
      <c r="Q162" s="107"/>
      <c r="R162" s="112"/>
      <c r="S162" s="151"/>
      <c r="T162" s="151"/>
      <c r="U162" s="122"/>
      <c r="V162" s="163"/>
      <c r="W162" s="151"/>
      <c r="X162" s="151"/>
      <c r="Y162" s="151"/>
      <c r="Z162" s="151"/>
      <c r="AA162" s="15"/>
    </row>
    <row r="163" spans="1:27" s="10" customFormat="1" ht="14.25" hidden="1" customHeight="1" x14ac:dyDescent="0.2">
      <c r="A163" s="134"/>
      <c r="B163" s="154"/>
      <c r="C163" s="54"/>
      <c r="D163" s="155"/>
      <c r="E163" s="38"/>
      <c r="F163" s="156"/>
      <c r="G163" s="156"/>
      <c r="H163" s="157"/>
      <c r="I163" s="158"/>
      <c r="J163" s="41"/>
      <c r="K163" s="112"/>
      <c r="L163" s="159"/>
      <c r="M163" s="160"/>
      <c r="N163" s="161"/>
      <c r="O163" s="113"/>
      <c r="P163" s="162"/>
      <c r="Q163" s="107"/>
      <c r="R163" s="112"/>
      <c r="S163" s="151"/>
      <c r="T163" s="151"/>
      <c r="U163" s="122"/>
      <c r="V163" s="163"/>
      <c r="W163" s="151"/>
      <c r="X163" s="151"/>
      <c r="Y163" s="151"/>
      <c r="Z163" s="151"/>
      <c r="AA163" s="15"/>
    </row>
    <row r="164" spans="1:27" s="10" customFormat="1" ht="14.25" hidden="1" customHeight="1" x14ac:dyDescent="0.2">
      <c r="A164" s="134"/>
      <c r="B164" s="154"/>
      <c r="C164" s="54"/>
      <c r="D164" s="155"/>
      <c r="E164" s="38"/>
      <c r="F164" s="156"/>
      <c r="G164" s="156"/>
      <c r="H164" s="157"/>
      <c r="I164" s="158"/>
      <c r="J164" s="41"/>
      <c r="K164" s="112"/>
      <c r="L164" s="159"/>
      <c r="M164" s="160"/>
      <c r="N164" s="161"/>
      <c r="O164" s="113"/>
      <c r="P164" s="162"/>
      <c r="Q164" s="107"/>
      <c r="R164" s="112"/>
      <c r="S164" s="151"/>
      <c r="T164" s="151"/>
      <c r="U164" s="122"/>
      <c r="V164" s="163"/>
      <c r="W164" s="151"/>
      <c r="X164" s="151"/>
      <c r="Y164" s="151"/>
      <c r="Z164" s="151"/>
      <c r="AA164" s="15"/>
    </row>
    <row r="165" spans="1:27" s="10" customFormat="1" ht="14.25" hidden="1" customHeight="1" x14ac:dyDescent="0.2">
      <c r="A165" s="134"/>
      <c r="B165" s="154"/>
      <c r="C165" s="54"/>
      <c r="D165" s="155"/>
      <c r="E165" s="38"/>
      <c r="F165" s="156"/>
      <c r="G165" s="156"/>
      <c r="H165" s="157"/>
      <c r="I165" s="158"/>
      <c r="J165" s="41"/>
      <c r="K165" s="112"/>
      <c r="L165" s="159"/>
      <c r="M165" s="160"/>
      <c r="N165" s="161"/>
      <c r="O165" s="113"/>
      <c r="P165" s="162"/>
      <c r="Q165" s="107"/>
      <c r="R165" s="112"/>
      <c r="S165" s="151"/>
      <c r="T165" s="151"/>
      <c r="U165" s="122"/>
      <c r="V165" s="163"/>
      <c r="W165" s="151"/>
      <c r="X165" s="151"/>
      <c r="Y165" s="151"/>
      <c r="Z165" s="151"/>
      <c r="AA165" s="15"/>
    </row>
    <row r="166" spans="1:27" s="10" customFormat="1" ht="14.25" hidden="1" customHeight="1" x14ac:dyDescent="0.2">
      <c r="A166" s="134"/>
      <c r="B166" s="154"/>
      <c r="C166" s="54"/>
      <c r="D166" s="155"/>
      <c r="E166" s="38"/>
      <c r="F166" s="156"/>
      <c r="G166" s="156"/>
      <c r="H166" s="157"/>
      <c r="I166" s="158"/>
      <c r="J166" s="41"/>
      <c r="K166" s="112"/>
      <c r="L166" s="159"/>
      <c r="M166" s="160"/>
      <c r="N166" s="161"/>
      <c r="O166" s="113"/>
      <c r="P166" s="162"/>
      <c r="Q166" s="107"/>
      <c r="R166" s="112"/>
      <c r="S166" s="151"/>
      <c r="T166" s="151"/>
      <c r="U166" s="122"/>
      <c r="V166" s="163"/>
      <c r="W166" s="151"/>
      <c r="X166" s="151"/>
      <c r="Y166" s="151"/>
      <c r="Z166" s="151"/>
      <c r="AA166" s="15"/>
    </row>
    <row r="167" spans="1:27" s="10" customFormat="1" ht="14.25" hidden="1" customHeight="1" x14ac:dyDescent="0.2">
      <c r="A167" s="134"/>
      <c r="B167" s="154"/>
      <c r="C167" s="54"/>
      <c r="D167" s="155"/>
      <c r="E167" s="38"/>
      <c r="F167" s="156"/>
      <c r="G167" s="156"/>
      <c r="H167" s="157"/>
      <c r="I167" s="158"/>
      <c r="J167" s="41"/>
      <c r="K167" s="112"/>
      <c r="L167" s="159"/>
      <c r="M167" s="160"/>
      <c r="N167" s="161"/>
      <c r="O167" s="113"/>
      <c r="P167" s="162"/>
      <c r="Q167" s="107"/>
      <c r="R167" s="112"/>
      <c r="S167" s="151"/>
      <c r="T167" s="151"/>
      <c r="U167" s="122"/>
      <c r="V167" s="163"/>
      <c r="W167" s="151"/>
      <c r="X167" s="151"/>
      <c r="Y167" s="151"/>
      <c r="Z167" s="151"/>
      <c r="AA167" s="15"/>
    </row>
    <row r="168" spans="1:27" s="10" customFormat="1" ht="14.25" hidden="1" customHeight="1" x14ac:dyDescent="0.2">
      <c r="A168" s="134"/>
      <c r="B168" s="154"/>
      <c r="C168" s="54"/>
      <c r="D168" s="155"/>
      <c r="E168" s="38"/>
      <c r="F168" s="156"/>
      <c r="G168" s="156"/>
      <c r="H168" s="157"/>
      <c r="I168" s="158"/>
      <c r="J168" s="41"/>
      <c r="K168" s="112"/>
      <c r="L168" s="159"/>
      <c r="M168" s="160"/>
      <c r="N168" s="161"/>
      <c r="O168" s="113"/>
      <c r="P168" s="162"/>
      <c r="Q168" s="107"/>
      <c r="R168" s="112"/>
      <c r="S168" s="151"/>
      <c r="T168" s="151"/>
      <c r="U168" s="122"/>
      <c r="V168" s="163"/>
      <c r="W168" s="151"/>
      <c r="X168" s="151"/>
      <c r="Y168" s="151"/>
      <c r="Z168" s="151"/>
      <c r="AA168" s="15"/>
    </row>
    <row r="169" spans="1:27" s="10" customFormat="1" ht="14.25" hidden="1" customHeight="1" x14ac:dyDescent="0.2">
      <c r="A169" s="134"/>
      <c r="B169" s="154"/>
      <c r="C169" s="54"/>
      <c r="D169" s="155"/>
      <c r="E169" s="38"/>
      <c r="F169" s="156"/>
      <c r="G169" s="156"/>
      <c r="H169" s="157"/>
      <c r="I169" s="158"/>
      <c r="J169" s="41"/>
      <c r="K169" s="112"/>
      <c r="L169" s="159"/>
      <c r="M169" s="160"/>
      <c r="N169" s="161"/>
      <c r="O169" s="113"/>
      <c r="P169" s="162"/>
      <c r="Q169" s="107"/>
      <c r="R169" s="112"/>
      <c r="S169" s="151"/>
      <c r="T169" s="151"/>
      <c r="U169" s="122"/>
      <c r="V169" s="163"/>
      <c r="W169" s="151"/>
      <c r="X169" s="151"/>
      <c r="Y169" s="151"/>
      <c r="Z169" s="151"/>
      <c r="AA169" s="15"/>
    </row>
    <row r="170" spans="1:27" s="10" customFormat="1" ht="14.25" hidden="1" customHeight="1" x14ac:dyDescent="0.2">
      <c r="A170" s="134"/>
      <c r="B170" s="154"/>
      <c r="C170" s="54"/>
      <c r="D170" s="155"/>
      <c r="E170" s="38"/>
      <c r="F170" s="156"/>
      <c r="G170" s="156"/>
      <c r="H170" s="157"/>
      <c r="I170" s="158"/>
      <c r="J170" s="41"/>
      <c r="K170" s="112"/>
      <c r="L170" s="159"/>
      <c r="M170" s="160"/>
      <c r="N170" s="161"/>
      <c r="O170" s="113"/>
      <c r="P170" s="162"/>
      <c r="Q170" s="107"/>
      <c r="R170" s="112"/>
      <c r="S170" s="151"/>
      <c r="T170" s="151"/>
      <c r="U170" s="122"/>
      <c r="V170" s="163"/>
      <c r="W170" s="151"/>
      <c r="X170" s="151"/>
      <c r="Y170" s="151"/>
      <c r="Z170" s="151"/>
      <c r="AA170" s="15"/>
    </row>
    <row r="171" spans="1:27" s="10" customFormat="1" ht="14.25" hidden="1" customHeight="1" x14ac:dyDescent="0.2">
      <c r="A171" s="134"/>
      <c r="B171" s="154"/>
      <c r="C171" s="54"/>
      <c r="D171" s="155"/>
      <c r="E171" s="38"/>
      <c r="F171" s="156"/>
      <c r="G171" s="156"/>
      <c r="H171" s="157"/>
      <c r="I171" s="158"/>
      <c r="J171" s="41"/>
      <c r="K171" s="112"/>
      <c r="L171" s="159"/>
      <c r="M171" s="160"/>
      <c r="N171" s="161"/>
      <c r="O171" s="113"/>
      <c r="P171" s="162"/>
      <c r="Q171" s="107"/>
      <c r="R171" s="112"/>
      <c r="S171" s="151"/>
      <c r="T171" s="151"/>
      <c r="U171" s="122"/>
      <c r="V171" s="163"/>
      <c r="W171" s="151"/>
      <c r="X171" s="151"/>
      <c r="Y171" s="151"/>
      <c r="Z171" s="151"/>
      <c r="AA171" s="15"/>
    </row>
    <row r="172" spans="1:27" s="10" customFormat="1" ht="14.25" hidden="1" customHeight="1" x14ac:dyDescent="0.2">
      <c r="A172" s="134"/>
      <c r="B172" s="154"/>
      <c r="C172" s="54"/>
      <c r="D172" s="155"/>
      <c r="E172" s="38"/>
      <c r="F172" s="156"/>
      <c r="G172" s="156"/>
      <c r="H172" s="157"/>
      <c r="I172" s="158"/>
      <c r="J172" s="41"/>
      <c r="K172" s="112"/>
      <c r="L172" s="159"/>
      <c r="M172" s="160"/>
      <c r="N172" s="161"/>
      <c r="O172" s="113"/>
      <c r="P172" s="162"/>
      <c r="Q172" s="107"/>
      <c r="R172" s="112"/>
      <c r="S172" s="151"/>
      <c r="T172" s="151"/>
      <c r="U172" s="122"/>
      <c r="V172" s="163"/>
      <c r="W172" s="151"/>
      <c r="X172" s="151"/>
      <c r="Y172" s="151"/>
      <c r="Z172" s="151"/>
      <c r="AA172" s="15"/>
    </row>
    <row r="173" spans="1:27" s="10" customFormat="1" ht="14.25" hidden="1" customHeight="1" x14ac:dyDescent="0.2">
      <c r="A173" s="134"/>
      <c r="B173" s="154"/>
      <c r="C173" s="54"/>
      <c r="D173" s="155"/>
      <c r="E173" s="38"/>
      <c r="F173" s="156"/>
      <c r="G173" s="156"/>
      <c r="H173" s="157"/>
      <c r="I173" s="158"/>
      <c r="J173" s="41"/>
      <c r="K173" s="112"/>
      <c r="L173" s="159"/>
      <c r="M173" s="160"/>
      <c r="N173" s="161"/>
      <c r="O173" s="113"/>
      <c r="P173" s="162"/>
      <c r="Q173" s="107"/>
      <c r="R173" s="112"/>
      <c r="S173" s="151"/>
      <c r="T173" s="151"/>
      <c r="U173" s="122"/>
      <c r="V173" s="163"/>
      <c r="W173" s="151"/>
      <c r="X173" s="151"/>
      <c r="Y173" s="151"/>
      <c r="Z173" s="151"/>
      <c r="AA173" s="15"/>
    </row>
    <row r="174" spans="1:27" s="10" customFormat="1" ht="14.25" hidden="1" customHeight="1" x14ac:dyDescent="0.2">
      <c r="A174" s="134"/>
      <c r="B174" s="154"/>
      <c r="C174" s="54"/>
      <c r="D174" s="155"/>
      <c r="E174" s="38"/>
      <c r="F174" s="156"/>
      <c r="G174" s="156"/>
      <c r="H174" s="157"/>
      <c r="I174" s="158"/>
      <c r="J174" s="41"/>
      <c r="K174" s="112"/>
      <c r="L174" s="159"/>
      <c r="M174" s="160"/>
      <c r="N174" s="161"/>
      <c r="O174" s="113"/>
      <c r="P174" s="162"/>
      <c r="Q174" s="107"/>
      <c r="R174" s="112"/>
      <c r="S174" s="151"/>
      <c r="T174" s="151"/>
      <c r="U174" s="122"/>
      <c r="V174" s="163"/>
      <c r="W174" s="151"/>
      <c r="X174" s="151"/>
      <c r="Y174" s="151"/>
      <c r="Z174" s="151"/>
      <c r="AA174" s="15"/>
    </row>
    <row r="175" spans="1:27" s="10" customFormat="1" ht="14.25" hidden="1" customHeight="1" x14ac:dyDescent="0.2">
      <c r="A175" s="134"/>
      <c r="B175" s="154"/>
      <c r="C175" s="54"/>
      <c r="D175" s="155"/>
      <c r="E175" s="38"/>
      <c r="F175" s="156"/>
      <c r="G175" s="156"/>
      <c r="H175" s="157"/>
      <c r="I175" s="158"/>
      <c r="J175" s="41"/>
      <c r="K175" s="112"/>
      <c r="L175" s="159"/>
      <c r="M175" s="160"/>
      <c r="N175" s="161"/>
      <c r="O175" s="113"/>
      <c r="P175" s="162"/>
      <c r="Q175" s="107"/>
      <c r="R175" s="112"/>
      <c r="S175" s="151"/>
      <c r="T175" s="151"/>
      <c r="U175" s="122"/>
      <c r="V175" s="163"/>
      <c r="W175" s="151"/>
      <c r="X175" s="151"/>
      <c r="Y175" s="151"/>
      <c r="Z175" s="151"/>
      <c r="AA175" s="15"/>
    </row>
    <row r="176" spans="1:27" s="10" customFormat="1" ht="14.25" hidden="1" customHeight="1" x14ac:dyDescent="0.2">
      <c r="A176" s="134"/>
      <c r="B176" s="154"/>
      <c r="C176" s="54"/>
      <c r="D176" s="155"/>
      <c r="E176" s="38"/>
      <c r="F176" s="156"/>
      <c r="G176" s="156"/>
      <c r="H176" s="157"/>
      <c r="I176" s="158"/>
      <c r="J176" s="41"/>
      <c r="K176" s="112"/>
      <c r="L176" s="159"/>
      <c r="M176" s="160"/>
      <c r="N176" s="161"/>
      <c r="O176" s="113"/>
      <c r="P176" s="162"/>
      <c r="Q176" s="107"/>
      <c r="R176" s="112"/>
      <c r="S176" s="151"/>
      <c r="T176" s="151"/>
      <c r="U176" s="122"/>
      <c r="V176" s="163"/>
      <c r="W176" s="151"/>
      <c r="X176" s="151"/>
      <c r="Y176" s="151"/>
      <c r="Z176" s="151"/>
      <c r="AA176" s="15"/>
    </row>
    <row r="177" spans="1:27" s="10" customFormat="1" ht="14.25" hidden="1" customHeight="1" x14ac:dyDescent="0.2">
      <c r="A177" s="134"/>
      <c r="B177" s="154"/>
      <c r="C177" s="54"/>
      <c r="D177" s="155"/>
      <c r="E177" s="38"/>
      <c r="F177" s="156"/>
      <c r="G177" s="156"/>
      <c r="H177" s="157"/>
      <c r="I177" s="158"/>
      <c r="J177" s="41"/>
      <c r="K177" s="112"/>
      <c r="L177" s="159"/>
      <c r="M177" s="160"/>
      <c r="N177" s="161"/>
      <c r="O177" s="113"/>
      <c r="P177" s="162"/>
      <c r="Q177" s="107"/>
      <c r="R177" s="112"/>
      <c r="S177" s="151"/>
      <c r="T177" s="151"/>
      <c r="U177" s="122"/>
      <c r="V177" s="163"/>
      <c r="W177" s="151"/>
      <c r="X177" s="151"/>
      <c r="Y177" s="151"/>
      <c r="Z177" s="151"/>
      <c r="AA177" s="15"/>
    </row>
    <row r="178" spans="1:27" s="10" customFormat="1" ht="14.25" hidden="1" customHeight="1" x14ac:dyDescent="0.2">
      <c r="A178" s="134"/>
      <c r="B178" s="154"/>
      <c r="C178" s="54"/>
      <c r="D178" s="155"/>
      <c r="E178" s="38"/>
      <c r="F178" s="156"/>
      <c r="G178" s="156"/>
      <c r="H178" s="157"/>
      <c r="I178" s="158"/>
      <c r="J178" s="41"/>
      <c r="K178" s="112"/>
      <c r="L178" s="159"/>
      <c r="M178" s="160"/>
      <c r="N178" s="161"/>
      <c r="O178" s="113"/>
      <c r="P178" s="162"/>
      <c r="Q178" s="107"/>
      <c r="R178" s="112"/>
      <c r="S178" s="151"/>
      <c r="T178" s="151"/>
      <c r="U178" s="122"/>
      <c r="V178" s="163"/>
      <c r="W178" s="151"/>
      <c r="X178" s="151"/>
      <c r="Y178" s="151"/>
      <c r="Z178" s="151"/>
      <c r="AA178" s="15"/>
    </row>
    <row r="179" spans="1:27" s="10" customFormat="1" ht="14.25" hidden="1" customHeight="1" x14ac:dyDescent="0.2">
      <c r="A179" s="134"/>
      <c r="B179" s="154"/>
      <c r="C179" s="54"/>
      <c r="D179" s="155"/>
      <c r="E179" s="38"/>
      <c r="F179" s="156"/>
      <c r="G179" s="156"/>
      <c r="H179" s="157"/>
      <c r="I179" s="158"/>
      <c r="J179" s="41"/>
      <c r="K179" s="112"/>
      <c r="L179" s="159"/>
      <c r="M179" s="160"/>
      <c r="N179" s="161"/>
      <c r="O179" s="113"/>
      <c r="P179" s="162"/>
      <c r="Q179" s="107"/>
      <c r="R179" s="112"/>
      <c r="S179" s="151"/>
      <c r="T179" s="151"/>
      <c r="U179" s="122"/>
      <c r="V179" s="163"/>
      <c r="W179" s="151"/>
      <c r="X179" s="151"/>
      <c r="Y179" s="151"/>
      <c r="Z179" s="151"/>
      <c r="AA179" s="15"/>
    </row>
    <row r="180" spans="1:27" s="10" customFormat="1" ht="14.25" hidden="1" customHeight="1" x14ac:dyDescent="0.2">
      <c r="A180" s="134"/>
      <c r="B180" s="154"/>
      <c r="C180" s="54"/>
      <c r="D180" s="155"/>
      <c r="E180" s="38"/>
      <c r="F180" s="156"/>
      <c r="G180" s="156"/>
      <c r="H180" s="157"/>
      <c r="I180" s="158"/>
      <c r="J180" s="41"/>
      <c r="K180" s="112"/>
      <c r="L180" s="159"/>
      <c r="M180" s="160"/>
      <c r="N180" s="161"/>
      <c r="O180" s="113"/>
      <c r="P180" s="162"/>
      <c r="Q180" s="107"/>
      <c r="R180" s="112"/>
      <c r="S180" s="151"/>
      <c r="T180" s="151"/>
      <c r="U180" s="122"/>
      <c r="V180" s="163"/>
      <c r="W180" s="151"/>
      <c r="X180" s="151"/>
      <c r="Y180" s="151"/>
      <c r="Z180" s="151"/>
      <c r="AA180" s="15"/>
    </row>
    <row r="181" spans="1:27" s="10" customFormat="1" ht="14.25" hidden="1" customHeight="1" x14ac:dyDescent="0.2">
      <c r="A181" s="134"/>
      <c r="B181" s="154"/>
      <c r="C181" s="54"/>
      <c r="D181" s="155"/>
      <c r="E181" s="38"/>
      <c r="F181" s="156"/>
      <c r="G181" s="156"/>
      <c r="H181" s="157"/>
      <c r="I181" s="158"/>
      <c r="J181" s="41"/>
      <c r="K181" s="112"/>
      <c r="L181" s="159"/>
      <c r="M181" s="160"/>
      <c r="N181" s="161"/>
      <c r="O181" s="113"/>
      <c r="P181" s="162"/>
      <c r="Q181" s="107"/>
      <c r="R181" s="112"/>
      <c r="S181" s="151"/>
      <c r="T181" s="151"/>
      <c r="U181" s="122"/>
      <c r="V181" s="163"/>
      <c r="W181" s="151"/>
      <c r="X181" s="151"/>
      <c r="Y181" s="151"/>
      <c r="Z181" s="151"/>
      <c r="AA181" s="15"/>
    </row>
    <row r="182" spans="1:27" s="10" customFormat="1" ht="14.25" hidden="1" customHeight="1" x14ac:dyDescent="0.2">
      <c r="A182" s="134"/>
      <c r="B182" s="154"/>
      <c r="C182" s="54"/>
      <c r="D182" s="155"/>
      <c r="E182" s="38"/>
      <c r="F182" s="156"/>
      <c r="G182" s="156"/>
      <c r="H182" s="157"/>
      <c r="I182" s="158"/>
      <c r="J182" s="41"/>
      <c r="K182" s="112"/>
      <c r="L182" s="159"/>
      <c r="M182" s="160"/>
      <c r="N182" s="161"/>
      <c r="O182" s="113"/>
      <c r="P182" s="162"/>
      <c r="Q182" s="107"/>
      <c r="R182" s="112"/>
      <c r="S182" s="151"/>
      <c r="T182" s="151"/>
      <c r="U182" s="122"/>
      <c r="V182" s="163"/>
      <c r="W182" s="151"/>
      <c r="X182" s="151"/>
      <c r="Y182" s="151"/>
      <c r="Z182" s="151"/>
      <c r="AA182" s="15"/>
    </row>
    <row r="183" spans="1:27" s="10" customFormat="1" ht="14.25" hidden="1" customHeight="1" x14ac:dyDescent="0.2">
      <c r="A183" s="134"/>
      <c r="B183" s="154"/>
      <c r="C183" s="54"/>
      <c r="D183" s="155"/>
      <c r="E183" s="38"/>
      <c r="F183" s="156"/>
      <c r="G183" s="156"/>
      <c r="H183" s="157"/>
      <c r="I183" s="158"/>
      <c r="J183" s="41"/>
      <c r="K183" s="112"/>
      <c r="L183" s="159"/>
      <c r="M183" s="160"/>
      <c r="N183" s="161"/>
      <c r="O183" s="113"/>
      <c r="P183" s="162"/>
      <c r="Q183" s="107"/>
      <c r="R183" s="112"/>
      <c r="S183" s="151"/>
      <c r="T183" s="151"/>
      <c r="U183" s="122"/>
      <c r="V183" s="163"/>
      <c r="W183" s="151"/>
      <c r="X183" s="151"/>
      <c r="Y183" s="151"/>
      <c r="Z183" s="151"/>
      <c r="AA183" s="15"/>
    </row>
    <row r="184" spans="1:27" s="10" customFormat="1" ht="14.25" hidden="1" customHeight="1" x14ac:dyDescent="0.2">
      <c r="A184" s="134"/>
      <c r="B184" s="154"/>
      <c r="C184" s="54"/>
      <c r="D184" s="155"/>
      <c r="E184" s="38"/>
      <c r="F184" s="156"/>
      <c r="G184" s="156"/>
      <c r="H184" s="157"/>
      <c r="I184" s="158"/>
      <c r="J184" s="41"/>
      <c r="K184" s="112"/>
      <c r="L184" s="159"/>
      <c r="M184" s="160"/>
      <c r="N184" s="161"/>
      <c r="O184" s="113"/>
      <c r="P184" s="162"/>
      <c r="Q184" s="107"/>
      <c r="R184" s="112"/>
      <c r="S184" s="151"/>
      <c r="T184" s="151"/>
      <c r="U184" s="107"/>
      <c r="V184" s="163"/>
      <c r="W184" s="151"/>
      <c r="X184" s="151"/>
      <c r="Y184" s="151"/>
      <c r="Z184" s="151"/>
      <c r="AA184" s="15"/>
    </row>
    <row r="185" spans="1:27" s="10" customFormat="1" ht="14.25" hidden="1" customHeight="1" x14ac:dyDescent="0.2">
      <c r="A185" s="134"/>
      <c r="B185" s="154"/>
      <c r="C185" s="54"/>
      <c r="D185" s="155"/>
      <c r="E185" s="38"/>
      <c r="F185" s="156"/>
      <c r="G185" s="156"/>
      <c r="H185" s="157"/>
      <c r="I185" s="158"/>
      <c r="J185" s="41"/>
      <c r="K185" s="112"/>
      <c r="L185" s="159"/>
      <c r="M185" s="160"/>
      <c r="N185" s="161"/>
      <c r="O185" s="113"/>
      <c r="P185" s="162"/>
      <c r="Q185" s="107"/>
      <c r="R185" s="112"/>
      <c r="S185" s="151"/>
      <c r="T185" s="151"/>
      <c r="U185" s="107"/>
      <c r="V185" s="163"/>
      <c r="W185" s="151"/>
      <c r="X185" s="151"/>
      <c r="Y185" s="151"/>
      <c r="Z185" s="151"/>
      <c r="AA185" s="15"/>
    </row>
    <row r="186" spans="1:27" s="10" customFormat="1" ht="14.25" hidden="1" customHeight="1" x14ac:dyDescent="0.2">
      <c r="A186" s="134"/>
      <c r="B186" s="154"/>
      <c r="C186" s="54"/>
      <c r="D186" s="155"/>
      <c r="E186" s="38"/>
      <c r="F186" s="156"/>
      <c r="G186" s="156"/>
      <c r="H186" s="157"/>
      <c r="I186" s="158"/>
      <c r="J186" s="41"/>
      <c r="K186" s="112"/>
      <c r="L186" s="159"/>
      <c r="M186" s="160"/>
      <c r="N186" s="161"/>
      <c r="O186" s="113"/>
      <c r="P186" s="162"/>
      <c r="Q186" s="107"/>
      <c r="R186" s="112"/>
      <c r="S186" s="151"/>
      <c r="T186" s="151"/>
      <c r="U186" s="107"/>
      <c r="V186" s="163"/>
      <c r="W186" s="151"/>
      <c r="X186" s="151"/>
      <c r="Y186" s="151"/>
      <c r="Z186" s="151"/>
      <c r="AA186" s="15"/>
    </row>
    <row r="187" spans="1:27" s="10" customFormat="1" ht="14.25" hidden="1" customHeight="1" x14ac:dyDescent="0.2">
      <c r="A187" s="134"/>
      <c r="B187" s="154"/>
      <c r="C187" s="54"/>
      <c r="D187" s="155"/>
      <c r="E187" s="38"/>
      <c r="F187" s="156"/>
      <c r="G187" s="156"/>
      <c r="H187" s="157"/>
      <c r="I187" s="158"/>
      <c r="J187" s="41"/>
      <c r="K187" s="112"/>
      <c r="L187" s="159"/>
      <c r="M187" s="160"/>
      <c r="N187" s="161"/>
      <c r="O187" s="113"/>
      <c r="P187" s="162"/>
      <c r="Q187" s="107"/>
      <c r="R187" s="112"/>
      <c r="S187" s="151"/>
      <c r="T187" s="151"/>
      <c r="U187" s="107"/>
      <c r="V187" s="163"/>
      <c r="W187" s="151"/>
      <c r="X187" s="151"/>
      <c r="Y187" s="151"/>
      <c r="Z187" s="151"/>
      <c r="AA187" s="15"/>
    </row>
    <row r="188" spans="1:27" s="10" customFormat="1" ht="14.25" hidden="1" customHeight="1" x14ac:dyDescent="0.2">
      <c r="A188" s="134"/>
      <c r="B188" s="154"/>
      <c r="C188" s="54"/>
      <c r="D188" s="155"/>
      <c r="E188" s="38"/>
      <c r="F188" s="156"/>
      <c r="G188" s="156"/>
      <c r="H188" s="157"/>
      <c r="I188" s="158"/>
      <c r="J188" s="41"/>
      <c r="K188" s="112"/>
      <c r="L188" s="159"/>
      <c r="M188" s="160"/>
      <c r="N188" s="161"/>
      <c r="O188" s="113"/>
      <c r="P188" s="162"/>
      <c r="Q188" s="107"/>
      <c r="R188" s="112"/>
      <c r="S188" s="151"/>
      <c r="T188" s="151"/>
      <c r="U188" s="107"/>
      <c r="V188" s="163"/>
      <c r="W188" s="151"/>
      <c r="X188" s="151"/>
      <c r="Y188" s="151"/>
      <c r="Z188" s="151"/>
      <c r="AA188" s="15"/>
    </row>
    <row r="189" spans="1:27" s="10" customFormat="1" ht="14.25" hidden="1" customHeight="1" x14ac:dyDescent="0.2">
      <c r="A189" s="134"/>
      <c r="B189" s="154"/>
      <c r="C189" s="54"/>
      <c r="D189" s="155"/>
      <c r="E189" s="38"/>
      <c r="F189" s="156"/>
      <c r="G189" s="156"/>
      <c r="H189" s="157"/>
      <c r="I189" s="158"/>
      <c r="J189" s="41"/>
      <c r="K189" s="112"/>
      <c r="L189" s="159"/>
      <c r="M189" s="160"/>
      <c r="N189" s="161"/>
      <c r="O189" s="113"/>
      <c r="P189" s="162"/>
      <c r="Q189" s="107"/>
      <c r="R189" s="112"/>
      <c r="S189" s="151"/>
      <c r="T189" s="151"/>
      <c r="U189" s="107"/>
      <c r="V189" s="163"/>
      <c r="W189" s="151"/>
      <c r="X189" s="151"/>
      <c r="Y189" s="151"/>
      <c r="Z189" s="151"/>
      <c r="AA189" s="15"/>
    </row>
    <row r="190" spans="1:27" s="10" customFormat="1" ht="13.5" hidden="1" customHeight="1" x14ac:dyDescent="0.2">
      <c r="A190" s="134"/>
      <c r="B190" s="154"/>
      <c r="C190" s="54"/>
      <c r="D190" s="155"/>
      <c r="E190" s="38"/>
      <c r="F190" s="156"/>
      <c r="G190" s="156"/>
      <c r="H190" s="157"/>
      <c r="I190" s="158"/>
      <c r="J190" s="41"/>
      <c r="K190" s="112"/>
      <c r="L190" s="159"/>
      <c r="M190" s="160"/>
      <c r="N190" s="161"/>
      <c r="O190" s="113"/>
      <c r="P190" s="162"/>
      <c r="Q190" s="107"/>
      <c r="R190" s="112"/>
      <c r="S190" s="151"/>
      <c r="T190" s="151"/>
      <c r="U190" s="107"/>
      <c r="V190" s="163"/>
      <c r="W190" s="151"/>
      <c r="X190" s="151"/>
      <c r="Y190" s="151"/>
      <c r="Z190" s="151"/>
      <c r="AA190" s="15"/>
    </row>
    <row r="191" spans="1:27" s="10" customFormat="1" ht="13.5" hidden="1" customHeight="1" x14ac:dyDescent="0.2">
      <c r="A191" s="134"/>
      <c r="B191" s="154"/>
      <c r="C191" s="54"/>
      <c r="D191" s="155"/>
      <c r="E191" s="38"/>
      <c r="F191" s="156"/>
      <c r="G191" s="156"/>
      <c r="H191" s="157"/>
      <c r="I191" s="158"/>
      <c r="J191" s="41"/>
      <c r="K191" s="112"/>
      <c r="L191" s="159"/>
      <c r="M191" s="160"/>
      <c r="N191" s="161"/>
      <c r="O191" s="113"/>
      <c r="P191" s="162"/>
      <c r="Q191" s="107"/>
      <c r="R191" s="112"/>
      <c r="S191" s="151"/>
      <c r="T191" s="151"/>
      <c r="U191" s="107"/>
      <c r="V191" s="163"/>
      <c r="W191" s="151"/>
      <c r="X191" s="151"/>
      <c r="Y191" s="151"/>
      <c r="Z191" s="151"/>
      <c r="AA191" s="15"/>
    </row>
    <row r="192" spans="1:27" s="10" customFormat="1" ht="13.5" hidden="1" customHeight="1" x14ac:dyDescent="0.2">
      <c r="A192" s="134"/>
      <c r="B192" s="154"/>
      <c r="C192" s="54"/>
      <c r="D192" s="155"/>
      <c r="E192" s="38"/>
      <c r="F192" s="156"/>
      <c r="G192" s="156"/>
      <c r="H192" s="157"/>
      <c r="I192" s="158"/>
      <c r="J192" s="41"/>
      <c r="K192" s="112"/>
      <c r="L192" s="159"/>
      <c r="M192" s="160"/>
      <c r="N192" s="161"/>
      <c r="O192" s="113"/>
      <c r="P192" s="162"/>
      <c r="Q192" s="107"/>
      <c r="R192" s="112"/>
      <c r="S192" s="151"/>
      <c r="T192" s="151"/>
      <c r="U192" s="107"/>
      <c r="V192" s="163"/>
      <c r="W192" s="151"/>
      <c r="X192" s="151"/>
      <c r="Y192" s="151"/>
      <c r="Z192" s="151"/>
      <c r="AA192" s="15"/>
    </row>
    <row r="193" spans="1:27" s="10" customFormat="1" ht="13.5" hidden="1" customHeight="1" x14ac:dyDescent="0.2">
      <c r="A193" s="134"/>
      <c r="B193" s="154"/>
      <c r="C193" s="54"/>
      <c r="D193" s="155"/>
      <c r="E193" s="38"/>
      <c r="F193" s="156"/>
      <c r="G193" s="156"/>
      <c r="H193" s="157"/>
      <c r="I193" s="158"/>
      <c r="J193" s="41"/>
      <c r="K193" s="112"/>
      <c r="L193" s="159"/>
      <c r="M193" s="160"/>
      <c r="N193" s="161"/>
      <c r="O193" s="113"/>
      <c r="P193" s="162"/>
      <c r="Q193" s="107"/>
      <c r="R193" s="112"/>
      <c r="S193" s="151"/>
      <c r="T193" s="151"/>
      <c r="U193" s="107"/>
      <c r="V193" s="163"/>
      <c r="W193" s="151"/>
      <c r="X193" s="151"/>
      <c r="Y193" s="151"/>
      <c r="Z193" s="151"/>
      <c r="AA193" s="15"/>
    </row>
    <row r="194" spans="1:27" s="10" customFormat="1" ht="13.5" hidden="1" customHeight="1" x14ac:dyDescent="0.2">
      <c r="A194" s="134"/>
      <c r="B194" s="154"/>
      <c r="C194" s="54"/>
      <c r="D194" s="155"/>
      <c r="E194" s="38"/>
      <c r="F194" s="156"/>
      <c r="G194" s="156"/>
      <c r="H194" s="157"/>
      <c r="I194" s="158"/>
      <c r="J194" s="41"/>
      <c r="K194" s="112"/>
      <c r="L194" s="159"/>
      <c r="M194" s="160"/>
      <c r="N194" s="161"/>
      <c r="O194" s="113"/>
      <c r="P194" s="162"/>
      <c r="Q194" s="107"/>
      <c r="R194" s="112"/>
      <c r="S194" s="151"/>
      <c r="T194" s="151"/>
      <c r="U194" s="107"/>
      <c r="V194" s="163"/>
      <c r="W194" s="151"/>
      <c r="X194" s="151"/>
      <c r="Y194" s="151"/>
      <c r="Z194" s="151"/>
      <c r="AA194" s="15"/>
    </row>
    <row r="195" spans="1:27" s="10" customFormat="1" ht="12.75" hidden="1" customHeight="1" x14ac:dyDescent="0.2">
      <c r="A195" s="134"/>
      <c r="B195" s="154"/>
      <c r="C195" s="54"/>
      <c r="D195" s="155"/>
      <c r="E195" s="38"/>
      <c r="F195" s="156"/>
      <c r="G195" s="156"/>
      <c r="H195" s="157"/>
      <c r="I195" s="158"/>
      <c r="J195" s="41"/>
      <c r="K195" s="112"/>
      <c r="L195" s="159"/>
      <c r="M195" s="160"/>
      <c r="N195" s="161"/>
      <c r="O195" s="113"/>
      <c r="P195" s="162"/>
      <c r="Q195" s="107"/>
      <c r="R195" s="112"/>
      <c r="S195" s="151"/>
      <c r="T195" s="151"/>
      <c r="U195" s="107"/>
      <c r="V195" s="163"/>
      <c r="W195" s="151"/>
      <c r="X195" s="151"/>
      <c r="Y195" s="151"/>
      <c r="Z195" s="151"/>
      <c r="AA195" s="15"/>
    </row>
    <row r="196" spans="1:27" s="10" customFormat="1" ht="13.5" hidden="1" customHeight="1" x14ac:dyDescent="0.2">
      <c r="A196" s="134"/>
      <c r="B196" s="154"/>
      <c r="C196" s="54"/>
      <c r="D196" s="155"/>
      <c r="E196" s="38"/>
      <c r="F196" s="156"/>
      <c r="G196" s="156"/>
      <c r="H196" s="157"/>
      <c r="I196" s="158"/>
      <c r="J196" s="41"/>
      <c r="K196" s="112"/>
      <c r="L196" s="159"/>
      <c r="M196" s="160"/>
      <c r="N196" s="161"/>
      <c r="O196" s="113"/>
      <c r="P196" s="162"/>
      <c r="Q196" s="107"/>
      <c r="R196" s="112"/>
      <c r="S196" s="151"/>
      <c r="T196" s="151"/>
      <c r="U196" s="107"/>
      <c r="V196" s="163"/>
      <c r="W196" s="151"/>
      <c r="X196" s="151"/>
      <c r="Y196" s="151"/>
      <c r="Z196" s="151"/>
      <c r="AA196" s="15"/>
    </row>
    <row r="197" spans="1:27" s="10" customFormat="1" ht="13.5" hidden="1" customHeight="1" x14ac:dyDescent="0.2">
      <c r="A197" s="134"/>
      <c r="B197" s="154"/>
      <c r="C197" s="54"/>
      <c r="D197" s="155"/>
      <c r="E197" s="38"/>
      <c r="F197" s="156"/>
      <c r="G197" s="156"/>
      <c r="H197" s="157"/>
      <c r="I197" s="158"/>
      <c r="J197" s="41"/>
      <c r="K197" s="112"/>
      <c r="L197" s="159"/>
      <c r="M197" s="160"/>
      <c r="N197" s="161"/>
      <c r="O197" s="113"/>
      <c r="P197" s="162"/>
      <c r="Q197" s="107"/>
      <c r="R197" s="112"/>
      <c r="S197" s="151"/>
      <c r="T197" s="151"/>
      <c r="U197" s="107"/>
      <c r="V197" s="163"/>
      <c r="W197" s="151"/>
      <c r="X197" s="151"/>
      <c r="Y197" s="151"/>
      <c r="Z197" s="151"/>
      <c r="AA197" s="15"/>
    </row>
    <row r="198" spans="1:27" s="10" customFormat="1" ht="13.5" hidden="1" customHeight="1" x14ac:dyDescent="0.2">
      <c r="A198" s="134"/>
      <c r="B198" s="154"/>
      <c r="C198" s="54"/>
      <c r="D198" s="155"/>
      <c r="E198" s="38"/>
      <c r="F198" s="156"/>
      <c r="G198" s="156"/>
      <c r="H198" s="157"/>
      <c r="I198" s="158"/>
      <c r="J198" s="41"/>
      <c r="K198" s="112"/>
      <c r="L198" s="159"/>
      <c r="M198" s="160"/>
      <c r="N198" s="161"/>
      <c r="O198" s="113"/>
      <c r="P198" s="162"/>
      <c r="Q198" s="107"/>
      <c r="R198" s="112"/>
      <c r="S198" s="151"/>
      <c r="T198" s="151"/>
      <c r="U198" s="107"/>
      <c r="V198" s="163"/>
      <c r="W198" s="151"/>
      <c r="X198" s="151"/>
      <c r="Y198" s="151"/>
      <c r="Z198" s="151"/>
      <c r="AA198" s="15"/>
    </row>
    <row r="199" spans="1:27" s="10" customFormat="1" ht="13.5" hidden="1" customHeight="1" x14ac:dyDescent="0.2">
      <c r="A199" s="134"/>
      <c r="B199" s="154"/>
      <c r="C199" s="54"/>
      <c r="D199" s="155"/>
      <c r="E199" s="38"/>
      <c r="F199" s="156"/>
      <c r="G199" s="156"/>
      <c r="H199" s="157"/>
      <c r="I199" s="158"/>
      <c r="J199" s="41"/>
      <c r="K199" s="112"/>
      <c r="L199" s="159"/>
      <c r="M199" s="160"/>
      <c r="N199" s="161"/>
      <c r="O199" s="113"/>
      <c r="P199" s="162"/>
      <c r="Q199" s="107"/>
      <c r="R199" s="112"/>
      <c r="S199" s="151"/>
      <c r="T199" s="151"/>
      <c r="U199" s="107"/>
      <c r="V199" s="163"/>
      <c r="W199" s="151"/>
      <c r="X199" s="151"/>
      <c r="Y199" s="151"/>
      <c r="Z199" s="151"/>
      <c r="AA199" s="15"/>
    </row>
    <row r="200" spans="1:27" s="10" customFormat="1" ht="13.5" hidden="1" customHeight="1" x14ac:dyDescent="0.2">
      <c r="A200" s="134"/>
      <c r="B200" s="154"/>
      <c r="C200" s="54"/>
      <c r="D200" s="155"/>
      <c r="E200" s="38"/>
      <c r="F200" s="156"/>
      <c r="G200" s="156"/>
      <c r="H200" s="157"/>
      <c r="I200" s="158"/>
      <c r="J200" s="41"/>
      <c r="K200" s="112"/>
      <c r="L200" s="159"/>
      <c r="M200" s="160"/>
      <c r="N200" s="161"/>
      <c r="O200" s="113"/>
      <c r="P200" s="162"/>
      <c r="Q200" s="107"/>
      <c r="R200" s="112"/>
      <c r="S200" s="151"/>
      <c r="T200" s="151"/>
      <c r="U200" s="107"/>
      <c r="V200" s="163"/>
      <c r="W200" s="151"/>
      <c r="X200" s="151"/>
      <c r="Y200" s="151"/>
      <c r="Z200" s="151"/>
      <c r="AA200" s="15"/>
    </row>
    <row r="201" spans="1:27" s="10" customFormat="1" ht="13.5" hidden="1" customHeight="1" x14ac:dyDescent="0.2">
      <c r="A201" s="134"/>
      <c r="B201" s="154"/>
      <c r="C201" s="54"/>
      <c r="D201" s="155"/>
      <c r="E201" s="38"/>
      <c r="F201" s="156"/>
      <c r="G201" s="156"/>
      <c r="H201" s="157"/>
      <c r="I201" s="158"/>
      <c r="J201" s="41"/>
      <c r="K201" s="112"/>
      <c r="L201" s="159"/>
      <c r="M201" s="160"/>
      <c r="N201" s="161"/>
      <c r="O201" s="113"/>
      <c r="P201" s="162"/>
      <c r="Q201" s="107"/>
      <c r="R201" s="112"/>
      <c r="S201" s="151"/>
      <c r="T201" s="151"/>
      <c r="U201" s="107"/>
      <c r="V201" s="163"/>
      <c r="W201" s="151"/>
      <c r="X201" s="151"/>
      <c r="Y201" s="151"/>
      <c r="Z201" s="151"/>
      <c r="AA201" s="15"/>
    </row>
    <row r="202" spans="1:27" s="10" customFormat="1" ht="13.5" hidden="1" customHeight="1" x14ac:dyDescent="0.2">
      <c r="A202" s="134"/>
      <c r="B202" s="154"/>
      <c r="C202" s="54"/>
      <c r="D202" s="155"/>
      <c r="E202" s="38"/>
      <c r="F202" s="156"/>
      <c r="G202" s="156"/>
      <c r="H202" s="157"/>
      <c r="I202" s="158"/>
      <c r="J202" s="41"/>
      <c r="K202" s="112"/>
      <c r="L202" s="159"/>
      <c r="M202" s="160"/>
      <c r="N202" s="161"/>
      <c r="O202" s="113"/>
      <c r="P202" s="162"/>
      <c r="Q202" s="107"/>
      <c r="R202" s="112"/>
      <c r="S202" s="151"/>
      <c r="T202" s="151"/>
      <c r="U202" s="107"/>
      <c r="V202" s="163"/>
      <c r="W202" s="151"/>
      <c r="X202" s="151"/>
      <c r="Y202" s="151"/>
      <c r="Z202" s="151"/>
      <c r="AA202" s="15"/>
    </row>
    <row r="203" spans="1:27" s="10" customFormat="1" ht="13.5" hidden="1" customHeight="1" x14ac:dyDescent="0.2">
      <c r="A203" s="134"/>
      <c r="B203" s="154"/>
      <c r="C203" s="54"/>
      <c r="D203" s="155"/>
      <c r="E203" s="38"/>
      <c r="F203" s="156"/>
      <c r="G203" s="156"/>
      <c r="H203" s="157"/>
      <c r="I203" s="158"/>
      <c r="J203" s="41"/>
      <c r="K203" s="112"/>
      <c r="L203" s="159"/>
      <c r="M203" s="160"/>
      <c r="N203" s="161"/>
      <c r="O203" s="113"/>
      <c r="P203" s="162"/>
      <c r="Q203" s="107"/>
      <c r="R203" s="112"/>
      <c r="S203" s="151"/>
      <c r="T203" s="151"/>
      <c r="U203" s="107"/>
      <c r="V203" s="163"/>
      <c r="W203" s="151"/>
      <c r="X203" s="151"/>
      <c r="Y203" s="151"/>
      <c r="Z203" s="151"/>
      <c r="AA203" s="15"/>
    </row>
    <row r="204" spans="1:27" s="10" customFormat="1" ht="13.5" hidden="1" customHeight="1" x14ac:dyDescent="0.2">
      <c r="A204" s="134"/>
      <c r="B204" s="154"/>
      <c r="C204" s="54"/>
      <c r="D204" s="155"/>
      <c r="E204" s="38"/>
      <c r="F204" s="156"/>
      <c r="G204" s="156"/>
      <c r="H204" s="157"/>
      <c r="I204" s="158"/>
      <c r="J204" s="41"/>
      <c r="K204" s="112"/>
      <c r="L204" s="159"/>
      <c r="M204" s="160"/>
      <c r="N204" s="161"/>
      <c r="O204" s="113"/>
      <c r="P204" s="162"/>
      <c r="Q204" s="107"/>
      <c r="R204" s="112"/>
      <c r="S204" s="151"/>
      <c r="T204" s="151"/>
      <c r="U204" s="107"/>
      <c r="V204" s="163"/>
      <c r="W204" s="151"/>
      <c r="X204" s="151"/>
      <c r="Y204" s="151"/>
      <c r="Z204" s="151"/>
      <c r="AA204" s="15"/>
    </row>
    <row r="205" spans="1:27" s="10" customFormat="1" ht="13.5" hidden="1" customHeight="1" x14ac:dyDescent="0.2">
      <c r="A205" s="134"/>
      <c r="B205" s="154"/>
      <c r="C205" s="54"/>
      <c r="D205" s="155"/>
      <c r="E205" s="38"/>
      <c r="F205" s="156"/>
      <c r="G205" s="156"/>
      <c r="H205" s="157"/>
      <c r="I205" s="158"/>
      <c r="J205" s="41"/>
      <c r="K205" s="112"/>
      <c r="L205" s="159"/>
      <c r="M205" s="160"/>
      <c r="N205" s="161"/>
      <c r="O205" s="113"/>
      <c r="P205" s="162"/>
      <c r="Q205" s="107"/>
      <c r="R205" s="112"/>
      <c r="S205" s="151"/>
      <c r="T205" s="151"/>
      <c r="U205" s="107"/>
      <c r="V205" s="163"/>
      <c r="W205" s="151"/>
      <c r="X205" s="151"/>
      <c r="Y205" s="151"/>
      <c r="Z205" s="151"/>
      <c r="AA205" s="15"/>
    </row>
    <row r="206" spans="1:27" s="10" customFormat="1" ht="13.5" hidden="1" customHeight="1" x14ac:dyDescent="0.2">
      <c r="A206" s="134"/>
      <c r="B206" s="154"/>
      <c r="C206" s="54"/>
      <c r="D206" s="155"/>
      <c r="E206" s="38"/>
      <c r="F206" s="156"/>
      <c r="G206" s="156"/>
      <c r="H206" s="157"/>
      <c r="I206" s="158"/>
      <c r="J206" s="41"/>
      <c r="K206" s="112"/>
      <c r="L206" s="159"/>
      <c r="M206" s="160"/>
      <c r="N206" s="161"/>
      <c r="O206" s="113"/>
      <c r="P206" s="162"/>
      <c r="Q206" s="107"/>
      <c r="R206" s="112"/>
      <c r="S206" s="151"/>
      <c r="T206" s="151"/>
      <c r="U206" s="107"/>
      <c r="V206" s="163"/>
      <c r="W206" s="151"/>
      <c r="X206" s="151"/>
      <c r="Y206" s="151"/>
      <c r="Z206" s="151"/>
      <c r="AA206" s="15"/>
    </row>
    <row r="207" spans="1:27" s="10" customFormat="1" ht="13.5" hidden="1" customHeight="1" x14ac:dyDescent="0.2">
      <c r="A207" s="134"/>
      <c r="B207" s="154"/>
      <c r="C207" s="54"/>
      <c r="D207" s="155"/>
      <c r="E207" s="38"/>
      <c r="F207" s="156"/>
      <c r="G207" s="156"/>
      <c r="H207" s="157"/>
      <c r="I207" s="158"/>
      <c r="J207" s="41"/>
      <c r="K207" s="112"/>
      <c r="L207" s="159"/>
      <c r="M207" s="160"/>
      <c r="N207" s="161"/>
      <c r="O207" s="113"/>
      <c r="P207" s="162"/>
      <c r="Q207" s="107"/>
      <c r="R207" s="112"/>
      <c r="S207" s="151"/>
      <c r="T207" s="151"/>
      <c r="U207" s="107"/>
      <c r="V207" s="163"/>
      <c r="W207" s="151"/>
      <c r="X207" s="151"/>
      <c r="Y207" s="151"/>
      <c r="Z207" s="151"/>
      <c r="AA207" s="15"/>
    </row>
    <row r="208" spans="1:27" s="10" customFormat="1" ht="13.5" hidden="1" customHeight="1" x14ac:dyDescent="0.2">
      <c r="A208" s="134"/>
      <c r="B208" s="154"/>
      <c r="C208" s="54"/>
      <c r="D208" s="155"/>
      <c r="E208" s="38"/>
      <c r="F208" s="156"/>
      <c r="G208" s="156"/>
      <c r="H208" s="157"/>
      <c r="I208" s="158"/>
      <c r="J208" s="41"/>
      <c r="K208" s="112"/>
      <c r="L208" s="159"/>
      <c r="M208" s="160"/>
      <c r="N208" s="161"/>
      <c r="O208" s="113"/>
      <c r="P208" s="162"/>
      <c r="Q208" s="107"/>
      <c r="R208" s="112"/>
      <c r="S208" s="151"/>
      <c r="T208" s="151"/>
      <c r="U208" s="107"/>
      <c r="V208" s="163"/>
      <c r="W208" s="151"/>
      <c r="X208" s="151"/>
      <c r="Y208" s="151"/>
      <c r="Z208" s="151"/>
      <c r="AA208" s="15"/>
    </row>
    <row r="209" spans="1:27" s="10" customFormat="1" ht="13.5" hidden="1" customHeight="1" x14ac:dyDescent="0.2">
      <c r="A209" s="134"/>
      <c r="B209" s="154"/>
      <c r="C209" s="54"/>
      <c r="D209" s="155"/>
      <c r="E209" s="38"/>
      <c r="F209" s="156"/>
      <c r="G209" s="156"/>
      <c r="H209" s="157"/>
      <c r="I209" s="158"/>
      <c r="J209" s="41"/>
      <c r="K209" s="112"/>
      <c r="L209" s="159"/>
      <c r="M209" s="160"/>
      <c r="N209" s="161"/>
      <c r="O209" s="113"/>
      <c r="P209" s="162"/>
      <c r="Q209" s="107"/>
      <c r="R209" s="112"/>
      <c r="S209" s="151"/>
      <c r="T209" s="151"/>
      <c r="U209" s="107"/>
      <c r="V209" s="163"/>
      <c r="W209" s="151"/>
      <c r="X209" s="151"/>
      <c r="Y209" s="151"/>
      <c r="Z209" s="151"/>
      <c r="AA209" s="15"/>
    </row>
    <row r="210" spans="1:27" s="10" customFormat="1" ht="13.5" hidden="1" customHeight="1" x14ac:dyDescent="0.2">
      <c r="A210" s="134"/>
      <c r="B210" s="154"/>
      <c r="C210" s="54"/>
      <c r="D210" s="155"/>
      <c r="E210" s="38"/>
      <c r="F210" s="156"/>
      <c r="G210" s="156"/>
      <c r="H210" s="157"/>
      <c r="I210" s="158"/>
      <c r="J210" s="41"/>
      <c r="K210" s="112"/>
      <c r="L210" s="159"/>
      <c r="M210" s="160"/>
      <c r="N210" s="161"/>
      <c r="O210" s="113"/>
      <c r="P210" s="162"/>
      <c r="Q210" s="107"/>
      <c r="R210" s="112"/>
      <c r="S210" s="151"/>
      <c r="T210" s="151"/>
      <c r="U210" s="107"/>
      <c r="V210" s="163"/>
      <c r="W210" s="151"/>
      <c r="X210" s="151"/>
      <c r="Y210" s="151"/>
      <c r="Z210" s="151"/>
      <c r="AA210" s="15"/>
    </row>
    <row r="211" spans="1:27" s="10" customFormat="1" ht="14.25" hidden="1" customHeight="1" x14ac:dyDescent="0.2">
      <c r="A211" s="134"/>
      <c r="B211" s="164"/>
      <c r="C211" s="165"/>
      <c r="D211" s="155"/>
      <c r="E211" s="38"/>
      <c r="F211" s="156"/>
      <c r="G211" s="156"/>
      <c r="H211" s="157"/>
      <c r="I211" s="158"/>
      <c r="J211" s="166"/>
      <c r="K211" s="112"/>
      <c r="L211" s="159"/>
      <c r="M211" s="160"/>
      <c r="N211" s="161"/>
      <c r="O211" s="161"/>
      <c r="P211" s="162"/>
      <c r="Q211" s="107"/>
      <c r="R211" s="112"/>
      <c r="S211" s="159"/>
      <c r="T211" s="159"/>
      <c r="U211" s="107"/>
      <c r="V211" s="163"/>
      <c r="W211" s="159"/>
      <c r="X211" s="159"/>
      <c r="Y211" s="159"/>
      <c r="Z211" s="151"/>
      <c r="AA211" s="15"/>
    </row>
    <row r="212" spans="1:27" s="10" customFormat="1" ht="14.25" hidden="1" customHeight="1" x14ac:dyDescent="0.2">
      <c r="A212" s="134"/>
      <c r="B212" s="164"/>
      <c r="C212" s="165"/>
      <c r="D212" s="155"/>
      <c r="E212" s="38"/>
      <c r="F212" s="156"/>
      <c r="G212" s="156"/>
      <c r="H212" s="157"/>
      <c r="I212" s="158"/>
      <c r="J212" s="166"/>
      <c r="K212" s="112"/>
      <c r="L212" s="159"/>
      <c r="M212" s="160"/>
      <c r="N212" s="161"/>
      <c r="O212" s="161"/>
      <c r="P212" s="162"/>
      <c r="Q212" s="107"/>
      <c r="R212" s="112"/>
      <c r="S212" s="159"/>
      <c r="T212" s="159"/>
      <c r="U212" s="107"/>
      <c r="V212" s="163"/>
      <c r="W212" s="159"/>
      <c r="X212" s="159"/>
      <c r="Y212" s="159"/>
      <c r="Z212" s="151"/>
      <c r="AA212" s="15"/>
    </row>
    <row r="213" spans="1:27" s="10" customFormat="1" ht="14.25" hidden="1" customHeight="1" x14ac:dyDescent="0.2">
      <c r="A213" s="134"/>
      <c r="B213" s="164"/>
      <c r="C213" s="165"/>
      <c r="D213" s="155"/>
      <c r="E213" s="38"/>
      <c r="F213" s="156"/>
      <c r="G213" s="156"/>
      <c r="H213" s="157"/>
      <c r="I213" s="158"/>
      <c r="J213" s="166"/>
      <c r="K213" s="112"/>
      <c r="L213" s="159"/>
      <c r="M213" s="160"/>
      <c r="N213" s="161"/>
      <c r="O213" s="161"/>
      <c r="P213" s="162"/>
      <c r="Q213" s="107"/>
      <c r="R213" s="112"/>
      <c r="S213" s="159"/>
      <c r="T213" s="159"/>
      <c r="U213" s="107"/>
      <c r="V213" s="163"/>
      <c r="W213" s="159"/>
      <c r="X213" s="159"/>
      <c r="Y213" s="159"/>
      <c r="Z213" s="151"/>
      <c r="AA213" s="15"/>
    </row>
    <row r="214" spans="1:27" s="10" customFormat="1" ht="14.25" hidden="1" customHeight="1" x14ac:dyDescent="0.2">
      <c r="A214" s="134"/>
      <c r="B214" s="164"/>
      <c r="C214" s="165"/>
      <c r="D214" s="155"/>
      <c r="E214" s="38"/>
      <c r="F214" s="156"/>
      <c r="G214" s="156"/>
      <c r="H214" s="157"/>
      <c r="I214" s="158"/>
      <c r="J214" s="166"/>
      <c r="K214" s="112"/>
      <c r="L214" s="159"/>
      <c r="M214" s="160"/>
      <c r="N214" s="161"/>
      <c r="O214" s="161"/>
      <c r="P214" s="162"/>
      <c r="Q214" s="107"/>
      <c r="R214" s="112"/>
      <c r="S214" s="159"/>
      <c r="T214" s="159"/>
      <c r="U214" s="107"/>
      <c r="V214" s="163"/>
      <c r="W214" s="159"/>
      <c r="X214" s="159"/>
      <c r="Y214" s="159"/>
      <c r="Z214" s="151"/>
      <c r="AA214" s="15"/>
    </row>
    <row r="215" spans="1:27" s="10" customFormat="1" ht="14.25" hidden="1" customHeight="1" x14ac:dyDescent="0.2">
      <c r="A215" s="134"/>
      <c r="B215" s="164"/>
      <c r="C215" s="165"/>
      <c r="D215" s="155"/>
      <c r="E215" s="38"/>
      <c r="F215" s="156"/>
      <c r="G215" s="156"/>
      <c r="H215" s="157"/>
      <c r="I215" s="158"/>
      <c r="J215" s="166"/>
      <c r="K215" s="112"/>
      <c r="L215" s="159"/>
      <c r="M215" s="160"/>
      <c r="N215" s="161"/>
      <c r="O215" s="161"/>
      <c r="P215" s="162"/>
      <c r="Q215" s="107"/>
      <c r="R215" s="112"/>
      <c r="S215" s="159"/>
      <c r="T215" s="159"/>
      <c r="U215" s="107"/>
      <c r="V215" s="163"/>
      <c r="W215" s="159"/>
      <c r="X215" s="159"/>
      <c r="Y215" s="159"/>
      <c r="Z215" s="151"/>
      <c r="AA215" s="15"/>
    </row>
    <row r="216" spans="1:27" s="10" customFormat="1" ht="14.25" hidden="1" customHeight="1" x14ac:dyDescent="0.2">
      <c r="A216" s="134"/>
      <c r="B216" s="164"/>
      <c r="C216" s="165"/>
      <c r="D216" s="155"/>
      <c r="E216" s="38"/>
      <c r="F216" s="156"/>
      <c r="G216" s="156"/>
      <c r="H216" s="157"/>
      <c r="I216" s="158"/>
      <c r="J216" s="166"/>
      <c r="K216" s="112"/>
      <c r="L216" s="159"/>
      <c r="M216" s="160"/>
      <c r="N216" s="161"/>
      <c r="O216" s="161"/>
      <c r="P216" s="162"/>
      <c r="Q216" s="107"/>
      <c r="R216" s="112"/>
      <c r="S216" s="159"/>
      <c r="T216" s="159"/>
      <c r="U216" s="107"/>
      <c r="V216" s="163"/>
      <c r="W216" s="159"/>
      <c r="X216" s="159"/>
      <c r="Y216" s="159"/>
      <c r="Z216" s="151"/>
      <c r="AA216" s="15"/>
    </row>
    <row r="217" spans="1:27" s="10" customFormat="1" ht="14.25" hidden="1" customHeight="1" x14ac:dyDescent="0.2">
      <c r="A217" s="134"/>
      <c r="B217" s="164"/>
      <c r="C217" s="165"/>
      <c r="D217" s="155"/>
      <c r="E217" s="38"/>
      <c r="F217" s="156"/>
      <c r="G217" s="156"/>
      <c r="H217" s="157"/>
      <c r="I217" s="158"/>
      <c r="J217" s="166"/>
      <c r="K217" s="112"/>
      <c r="L217" s="159"/>
      <c r="M217" s="160"/>
      <c r="N217" s="161"/>
      <c r="O217" s="161"/>
      <c r="P217" s="162"/>
      <c r="Q217" s="107"/>
      <c r="R217" s="112"/>
      <c r="S217" s="159"/>
      <c r="T217" s="159"/>
      <c r="U217" s="107"/>
      <c r="V217" s="163"/>
      <c r="W217" s="159"/>
      <c r="X217" s="159"/>
      <c r="Y217" s="159"/>
      <c r="Z217" s="151"/>
      <c r="AA217" s="15"/>
    </row>
    <row r="218" spans="1:27" s="10" customFormat="1" ht="14.25" hidden="1" customHeight="1" x14ac:dyDescent="0.2">
      <c r="A218" s="134"/>
      <c r="B218" s="164"/>
      <c r="C218" s="165"/>
      <c r="D218" s="155"/>
      <c r="E218" s="38"/>
      <c r="F218" s="156"/>
      <c r="G218" s="156"/>
      <c r="H218" s="157"/>
      <c r="I218" s="158"/>
      <c r="J218" s="166"/>
      <c r="K218" s="112"/>
      <c r="L218" s="159"/>
      <c r="M218" s="160"/>
      <c r="N218" s="161"/>
      <c r="O218" s="161"/>
      <c r="P218" s="162"/>
      <c r="Q218" s="107"/>
      <c r="R218" s="112"/>
      <c r="S218" s="159"/>
      <c r="T218" s="159"/>
      <c r="U218" s="107"/>
      <c r="V218" s="163"/>
      <c r="W218" s="159"/>
      <c r="X218" s="159"/>
      <c r="Y218" s="159"/>
      <c r="Z218" s="151"/>
      <c r="AA218" s="15"/>
    </row>
    <row r="219" spans="1:27" s="10" customFormat="1" ht="15.75" hidden="1" customHeight="1" x14ac:dyDescent="0.2">
      <c r="A219" s="134"/>
      <c r="B219" s="164"/>
      <c r="C219" s="165"/>
      <c r="D219" s="155"/>
      <c r="E219" s="38"/>
      <c r="F219" s="156"/>
      <c r="G219" s="156"/>
      <c r="H219" s="157"/>
      <c r="I219" s="158"/>
      <c r="J219" s="166"/>
      <c r="K219" s="112"/>
      <c r="L219" s="159"/>
      <c r="M219" s="160"/>
      <c r="N219" s="161"/>
      <c r="O219" s="161"/>
      <c r="P219" s="162"/>
      <c r="Q219" s="107"/>
      <c r="R219" s="112"/>
      <c r="S219" s="159"/>
      <c r="T219" s="159"/>
      <c r="U219" s="107"/>
      <c r="V219" s="163"/>
      <c r="W219" s="159"/>
      <c r="X219" s="159"/>
      <c r="Y219" s="159"/>
      <c r="Z219" s="151"/>
      <c r="AA219" s="15"/>
    </row>
    <row r="220" spans="1:27" s="10" customFormat="1" ht="15.75" hidden="1" customHeight="1" x14ac:dyDescent="0.2">
      <c r="A220" s="134"/>
      <c r="B220" s="164"/>
      <c r="C220" s="165"/>
      <c r="D220" s="155"/>
      <c r="E220" s="38"/>
      <c r="F220" s="156"/>
      <c r="G220" s="156"/>
      <c r="H220" s="157"/>
      <c r="I220" s="158"/>
      <c r="J220" s="166"/>
      <c r="K220" s="112"/>
      <c r="L220" s="159"/>
      <c r="M220" s="160"/>
      <c r="N220" s="161"/>
      <c r="O220" s="161"/>
      <c r="P220" s="162"/>
      <c r="Q220" s="107"/>
      <c r="R220" s="112"/>
      <c r="S220" s="159"/>
      <c r="T220" s="159"/>
      <c r="U220" s="107"/>
      <c r="V220" s="163"/>
      <c r="W220" s="159"/>
      <c r="X220" s="159"/>
      <c r="Y220" s="159"/>
      <c r="Z220" s="151"/>
      <c r="AA220" s="15"/>
    </row>
    <row r="221" spans="1:27" s="10" customFormat="1" ht="15.75" hidden="1" customHeight="1" x14ac:dyDescent="0.2">
      <c r="A221" s="134"/>
      <c r="B221" s="164"/>
      <c r="C221" s="165"/>
      <c r="D221" s="155"/>
      <c r="E221" s="38"/>
      <c r="F221" s="156"/>
      <c r="G221" s="156"/>
      <c r="H221" s="157"/>
      <c r="I221" s="158"/>
      <c r="J221" s="166"/>
      <c r="K221" s="112"/>
      <c r="L221" s="159"/>
      <c r="M221" s="160"/>
      <c r="N221" s="161"/>
      <c r="O221" s="161"/>
      <c r="P221" s="162"/>
      <c r="Q221" s="107"/>
      <c r="R221" s="112"/>
      <c r="S221" s="159"/>
      <c r="T221" s="159"/>
      <c r="U221" s="107"/>
      <c r="V221" s="163"/>
      <c r="W221" s="159"/>
      <c r="X221" s="159"/>
      <c r="Y221" s="159"/>
      <c r="Z221" s="151"/>
      <c r="AA221" s="15"/>
    </row>
    <row r="222" spans="1:27" s="10" customFormat="1" ht="15.75" hidden="1" customHeight="1" x14ac:dyDescent="0.2">
      <c r="A222" s="134"/>
      <c r="B222" s="164"/>
      <c r="C222" s="165"/>
      <c r="D222" s="155"/>
      <c r="E222" s="38"/>
      <c r="F222" s="156"/>
      <c r="G222" s="156"/>
      <c r="H222" s="157"/>
      <c r="I222" s="158"/>
      <c r="J222" s="166"/>
      <c r="K222" s="112"/>
      <c r="L222" s="159"/>
      <c r="M222" s="160"/>
      <c r="N222" s="161"/>
      <c r="O222" s="161"/>
      <c r="P222" s="162"/>
      <c r="Q222" s="107"/>
      <c r="R222" s="112"/>
      <c r="S222" s="159"/>
      <c r="T222" s="159"/>
      <c r="U222" s="107"/>
      <c r="V222" s="163"/>
      <c r="W222" s="159"/>
      <c r="X222" s="159"/>
      <c r="Y222" s="159"/>
      <c r="Z222" s="151"/>
      <c r="AA222" s="15"/>
    </row>
    <row r="223" spans="1:27" s="10" customFormat="1" ht="15.75" hidden="1" customHeight="1" x14ac:dyDescent="0.2">
      <c r="A223" s="134"/>
      <c r="B223" s="164"/>
      <c r="C223" s="165"/>
      <c r="D223" s="155"/>
      <c r="E223" s="38"/>
      <c r="F223" s="156"/>
      <c r="G223" s="156"/>
      <c r="H223" s="157"/>
      <c r="I223" s="158"/>
      <c r="J223" s="166"/>
      <c r="K223" s="112"/>
      <c r="L223" s="159"/>
      <c r="M223" s="160"/>
      <c r="N223" s="161"/>
      <c r="O223" s="161"/>
      <c r="P223" s="162"/>
      <c r="Q223" s="107"/>
      <c r="R223" s="112"/>
      <c r="S223" s="159"/>
      <c r="T223" s="159"/>
      <c r="U223" s="107"/>
      <c r="V223" s="163"/>
      <c r="W223" s="159"/>
      <c r="X223" s="159"/>
      <c r="Y223" s="159"/>
      <c r="Z223" s="151"/>
      <c r="AA223" s="15"/>
    </row>
    <row r="224" spans="1:27" s="10" customFormat="1" ht="15.75" hidden="1" customHeight="1" x14ac:dyDescent="0.2">
      <c r="A224" s="134"/>
      <c r="B224" s="164"/>
      <c r="C224" s="165"/>
      <c r="D224" s="155"/>
      <c r="E224" s="38"/>
      <c r="F224" s="156"/>
      <c r="G224" s="156"/>
      <c r="H224" s="157"/>
      <c r="I224" s="158"/>
      <c r="J224" s="166"/>
      <c r="K224" s="112"/>
      <c r="L224" s="159"/>
      <c r="M224" s="160"/>
      <c r="N224" s="161"/>
      <c r="O224" s="161"/>
      <c r="P224" s="162"/>
      <c r="Q224" s="107"/>
      <c r="R224" s="112"/>
      <c r="S224" s="159"/>
      <c r="T224" s="159"/>
      <c r="U224" s="107"/>
      <c r="V224" s="163"/>
      <c r="W224" s="159"/>
      <c r="X224" s="159"/>
      <c r="Y224" s="159"/>
      <c r="Z224" s="151"/>
      <c r="AA224" s="15"/>
    </row>
    <row r="225" spans="1:27" s="10" customFormat="1" ht="15.75" hidden="1" customHeight="1" x14ac:dyDescent="0.2">
      <c r="A225" s="134"/>
      <c r="B225" s="164"/>
      <c r="C225" s="165"/>
      <c r="D225" s="155"/>
      <c r="E225" s="38"/>
      <c r="F225" s="156"/>
      <c r="G225" s="156"/>
      <c r="H225" s="157"/>
      <c r="I225" s="158"/>
      <c r="J225" s="166"/>
      <c r="K225" s="112"/>
      <c r="L225" s="159"/>
      <c r="M225" s="160"/>
      <c r="N225" s="161"/>
      <c r="O225" s="161"/>
      <c r="P225" s="162"/>
      <c r="Q225" s="107"/>
      <c r="R225" s="112"/>
      <c r="S225" s="159"/>
      <c r="T225" s="159"/>
      <c r="U225" s="107"/>
      <c r="V225" s="163"/>
      <c r="W225" s="159"/>
      <c r="X225" s="159"/>
      <c r="Y225" s="159"/>
      <c r="Z225" s="151"/>
      <c r="AA225" s="15"/>
    </row>
    <row r="226" spans="1:27" s="10" customFormat="1" ht="15.75" hidden="1" customHeight="1" x14ac:dyDescent="0.2">
      <c r="A226" s="134"/>
      <c r="B226" s="164"/>
      <c r="C226" s="165"/>
      <c r="D226" s="155"/>
      <c r="E226" s="38"/>
      <c r="F226" s="156"/>
      <c r="G226" s="156"/>
      <c r="H226" s="157"/>
      <c r="I226" s="158"/>
      <c r="J226" s="166"/>
      <c r="K226" s="112"/>
      <c r="L226" s="159"/>
      <c r="M226" s="160"/>
      <c r="N226" s="161"/>
      <c r="O226" s="161"/>
      <c r="P226" s="162"/>
      <c r="Q226" s="107"/>
      <c r="R226" s="112"/>
      <c r="S226" s="159"/>
      <c r="T226" s="159"/>
      <c r="U226" s="107"/>
      <c r="V226" s="163"/>
      <c r="W226" s="159"/>
      <c r="X226" s="159"/>
      <c r="Y226" s="159"/>
      <c r="Z226" s="151"/>
      <c r="AA226" s="15"/>
    </row>
    <row r="227" spans="1:27" s="10" customFormat="1" ht="14.25" hidden="1" customHeight="1" x14ac:dyDescent="0.2">
      <c r="A227" s="134"/>
      <c r="B227" s="164"/>
      <c r="C227" s="165"/>
      <c r="D227" s="155"/>
      <c r="E227" s="38"/>
      <c r="F227" s="156"/>
      <c r="G227" s="156"/>
      <c r="H227" s="157"/>
      <c r="I227" s="158"/>
      <c r="J227" s="166"/>
      <c r="K227" s="112"/>
      <c r="L227" s="159"/>
      <c r="M227" s="160"/>
      <c r="N227" s="161"/>
      <c r="O227" s="161"/>
      <c r="P227" s="162"/>
      <c r="Q227" s="107"/>
      <c r="R227" s="112"/>
      <c r="S227" s="159"/>
      <c r="T227" s="159"/>
      <c r="U227" s="107"/>
      <c r="V227" s="163"/>
      <c r="W227" s="159"/>
      <c r="X227" s="159"/>
      <c r="Y227" s="159"/>
      <c r="Z227" s="151"/>
      <c r="AA227" s="15"/>
    </row>
    <row r="228" spans="1:27" s="10" customFormat="1" ht="14.25" hidden="1" customHeight="1" x14ac:dyDescent="0.2">
      <c r="A228" s="134"/>
      <c r="B228" s="164"/>
      <c r="C228" s="165"/>
      <c r="D228" s="155"/>
      <c r="E228" s="38"/>
      <c r="F228" s="156"/>
      <c r="G228" s="156"/>
      <c r="H228" s="157"/>
      <c r="I228" s="158"/>
      <c r="J228" s="166"/>
      <c r="K228" s="112"/>
      <c r="L228" s="167"/>
      <c r="M228" s="168"/>
      <c r="N228" s="169"/>
      <c r="O228" s="169"/>
      <c r="P228" s="170"/>
      <c r="Q228" s="107"/>
      <c r="R228" s="112"/>
      <c r="S228" s="167"/>
      <c r="T228" s="167"/>
      <c r="U228" s="107"/>
      <c r="V228" s="163"/>
      <c r="W228" s="167"/>
      <c r="X228" s="167"/>
      <c r="Y228" s="167"/>
      <c r="Z228" s="151"/>
      <c r="AA228" s="15"/>
    </row>
    <row r="229" spans="1:27" s="10" customFormat="1" ht="15.75" hidden="1" customHeight="1" x14ac:dyDescent="0.2">
      <c r="A229" s="134"/>
      <c r="B229" s="164"/>
      <c r="C229" s="165"/>
      <c r="D229" s="155"/>
      <c r="E229" s="38"/>
      <c r="F229" s="156"/>
      <c r="G229" s="156"/>
      <c r="H229" s="157"/>
      <c r="I229" s="158"/>
      <c r="J229" s="166"/>
      <c r="K229" s="112"/>
      <c r="L229" s="159"/>
      <c r="M229" s="160"/>
      <c r="N229" s="161"/>
      <c r="O229" s="161"/>
      <c r="P229" s="162"/>
      <c r="Q229" s="107"/>
      <c r="R229" s="112"/>
      <c r="S229" s="159"/>
      <c r="T229" s="159"/>
      <c r="U229" s="107"/>
      <c r="V229" s="163"/>
      <c r="W229" s="159"/>
      <c r="X229" s="159"/>
      <c r="Y229" s="159"/>
      <c r="Z229" s="151"/>
      <c r="AA229" s="15"/>
    </row>
    <row r="230" spans="1:27" s="10" customFormat="1" ht="15.75" hidden="1" customHeight="1" x14ac:dyDescent="0.2">
      <c r="A230" s="134"/>
      <c r="B230" s="164"/>
      <c r="C230" s="165"/>
      <c r="D230" s="155"/>
      <c r="E230" s="38"/>
      <c r="F230" s="156"/>
      <c r="G230" s="156"/>
      <c r="H230" s="157"/>
      <c r="I230" s="158"/>
      <c r="J230" s="166"/>
      <c r="K230" s="112"/>
      <c r="L230" s="159"/>
      <c r="M230" s="160"/>
      <c r="N230" s="161"/>
      <c r="O230" s="161"/>
      <c r="P230" s="162"/>
      <c r="Q230" s="107"/>
      <c r="R230" s="112"/>
      <c r="S230" s="159"/>
      <c r="T230" s="159"/>
      <c r="U230" s="107"/>
      <c r="V230" s="163"/>
      <c r="W230" s="159"/>
      <c r="X230" s="159"/>
      <c r="Y230" s="159"/>
      <c r="Z230" s="151"/>
      <c r="AA230" s="15"/>
    </row>
    <row r="231" spans="1:27" s="10" customFormat="1" ht="15.75" hidden="1" customHeight="1" x14ac:dyDescent="0.2">
      <c r="A231" s="134"/>
      <c r="B231" s="164"/>
      <c r="C231" s="165"/>
      <c r="D231" s="155"/>
      <c r="E231" s="38"/>
      <c r="F231" s="156"/>
      <c r="G231" s="156"/>
      <c r="H231" s="157"/>
      <c r="I231" s="158"/>
      <c r="J231" s="166"/>
      <c r="K231" s="112"/>
      <c r="L231" s="159"/>
      <c r="M231" s="160"/>
      <c r="N231" s="161"/>
      <c r="O231" s="161"/>
      <c r="P231" s="162"/>
      <c r="Q231" s="107"/>
      <c r="R231" s="112"/>
      <c r="S231" s="159"/>
      <c r="T231" s="159"/>
      <c r="U231" s="107"/>
      <c r="V231" s="163"/>
      <c r="W231" s="159"/>
      <c r="X231" s="159"/>
      <c r="Y231" s="159"/>
      <c r="Z231" s="151"/>
      <c r="AA231" s="15"/>
    </row>
    <row r="232" spans="1:27" s="10" customFormat="1" ht="15.75" hidden="1" customHeight="1" x14ac:dyDescent="0.2">
      <c r="A232" s="134"/>
      <c r="B232" s="164"/>
      <c r="C232" s="165"/>
      <c r="D232" s="155"/>
      <c r="E232" s="38"/>
      <c r="F232" s="156"/>
      <c r="G232" s="156"/>
      <c r="H232" s="157"/>
      <c r="I232" s="158"/>
      <c r="J232" s="166"/>
      <c r="K232" s="112"/>
      <c r="L232" s="159"/>
      <c r="M232" s="160"/>
      <c r="N232" s="161"/>
      <c r="O232" s="161"/>
      <c r="P232" s="162"/>
      <c r="Q232" s="107"/>
      <c r="R232" s="112"/>
      <c r="S232" s="159"/>
      <c r="T232" s="159"/>
      <c r="U232" s="107"/>
      <c r="V232" s="163"/>
      <c r="W232" s="159"/>
      <c r="X232" s="159"/>
      <c r="Y232" s="159"/>
      <c r="Z232" s="151"/>
      <c r="AA232" s="15"/>
    </row>
    <row r="233" spans="1:27" s="10" customFormat="1" ht="14.25" hidden="1" customHeight="1" x14ac:dyDescent="0.2">
      <c r="A233" s="134"/>
      <c r="B233" s="164"/>
      <c r="C233" s="165"/>
      <c r="D233" s="155"/>
      <c r="E233" s="38"/>
      <c r="F233" s="156"/>
      <c r="G233" s="156"/>
      <c r="H233" s="157"/>
      <c r="I233" s="158"/>
      <c r="J233" s="166"/>
      <c r="K233" s="112"/>
      <c r="L233" s="159"/>
      <c r="M233" s="160"/>
      <c r="N233" s="161"/>
      <c r="O233" s="161"/>
      <c r="P233" s="162"/>
      <c r="Q233" s="107"/>
      <c r="R233" s="112"/>
      <c r="S233" s="159"/>
      <c r="T233" s="159"/>
      <c r="U233" s="107"/>
      <c r="V233" s="163"/>
      <c r="W233" s="159"/>
      <c r="X233" s="159"/>
      <c r="Y233" s="159"/>
      <c r="Z233" s="151"/>
      <c r="AA233" s="15"/>
    </row>
    <row r="234" spans="1:27" s="10" customFormat="1" ht="14.25" hidden="1" customHeight="1" x14ac:dyDescent="0.2">
      <c r="A234" s="134"/>
      <c r="B234" s="164"/>
      <c r="C234" s="165"/>
      <c r="D234" s="155"/>
      <c r="E234" s="38"/>
      <c r="F234" s="156"/>
      <c r="G234" s="156"/>
      <c r="H234" s="157"/>
      <c r="I234" s="158"/>
      <c r="J234" s="166"/>
      <c r="K234" s="112"/>
      <c r="L234" s="159"/>
      <c r="M234" s="160"/>
      <c r="N234" s="161"/>
      <c r="O234" s="161"/>
      <c r="P234" s="162"/>
      <c r="Q234" s="107"/>
      <c r="R234" s="112"/>
      <c r="S234" s="159"/>
      <c r="T234" s="159"/>
      <c r="U234" s="107"/>
      <c r="V234" s="163"/>
      <c r="W234" s="159"/>
      <c r="X234" s="159"/>
      <c r="Y234" s="159"/>
      <c r="Z234" s="151"/>
      <c r="AA234" s="15"/>
    </row>
    <row r="235" spans="1:27" s="10" customFormat="1" ht="14.25" hidden="1" customHeight="1" x14ac:dyDescent="0.2">
      <c r="A235" s="134"/>
      <c r="B235" s="164"/>
      <c r="C235" s="165"/>
      <c r="D235" s="155"/>
      <c r="E235" s="38"/>
      <c r="F235" s="156"/>
      <c r="G235" s="156"/>
      <c r="H235" s="157"/>
      <c r="I235" s="158"/>
      <c r="J235" s="166"/>
      <c r="K235" s="112"/>
      <c r="L235" s="159"/>
      <c r="M235" s="160"/>
      <c r="N235" s="161"/>
      <c r="O235" s="161"/>
      <c r="P235" s="162"/>
      <c r="Q235" s="107"/>
      <c r="R235" s="112"/>
      <c r="S235" s="159"/>
      <c r="T235" s="159"/>
      <c r="U235" s="107"/>
      <c r="V235" s="163"/>
      <c r="W235" s="159"/>
      <c r="X235" s="159"/>
      <c r="Y235" s="159"/>
      <c r="Z235" s="151"/>
      <c r="AA235" s="15"/>
    </row>
    <row r="236" spans="1:27" s="10" customFormat="1" ht="14.25" hidden="1" customHeight="1" x14ac:dyDescent="0.2">
      <c r="A236" s="134"/>
      <c r="B236" s="164"/>
      <c r="C236" s="165"/>
      <c r="D236" s="155"/>
      <c r="E236" s="38"/>
      <c r="F236" s="156"/>
      <c r="G236" s="156"/>
      <c r="H236" s="157"/>
      <c r="I236" s="158"/>
      <c r="J236" s="166"/>
      <c r="K236" s="112"/>
      <c r="L236" s="159"/>
      <c r="M236" s="160"/>
      <c r="N236" s="161"/>
      <c r="O236" s="161"/>
      <c r="P236" s="162"/>
      <c r="Q236" s="107"/>
      <c r="R236" s="112"/>
      <c r="S236" s="159"/>
      <c r="T236" s="159"/>
      <c r="U236" s="107"/>
      <c r="V236" s="163"/>
      <c r="W236" s="159"/>
      <c r="X236" s="159"/>
      <c r="Y236" s="159"/>
      <c r="Z236" s="151"/>
      <c r="AA236" s="15"/>
    </row>
    <row r="237" spans="1:27" s="10" customFormat="1" ht="14.25" hidden="1" customHeight="1" x14ac:dyDescent="0.2">
      <c r="A237" s="134"/>
      <c r="B237" s="164"/>
      <c r="C237" s="165"/>
      <c r="D237" s="155"/>
      <c r="E237" s="38"/>
      <c r="F237" s="156"/>
      <c r="G237" s="156"/>
      <c r="H237" s="157"/>
      <c r="I237" s="158"/>
      <c r="J237" s="166"/>
      <c r="K237" s="112"/>
      <c r="L237" s="159"/>
      <c r="M237" s="160"/>
      <c r="N237" s="161"/>
      <c r="O237" s="161"/>
      <c r="P237" s="162"/>
      <c r="Q237" s="107"/>
      <c r="R237" s="112"/>
      <c r="S237" s="159"/>
      <c r="T237" s="159"/>
      <c r="U237" s="107"/>
      <c r="V237" s="163"/>
      <c r="W237" s="159"/>
      <c r="X237" s="159"/>
      <c r="Y237" s="159"/>
      <c r="Z237" s="151"/>
      <c r="AA237" s="15"/>
    </row>
    <row r="238" spans="1:27" s="10" customFormat="1" ht="14.25" hidden="1" customHeight="1" x14ac:dyDescent="0.2">
      <c r="A238" s="134"/>
      <c r="B238" s="164"/>
      <c r="C238" s="165"/>
      <c r="D238" s="155"/>
      <c r="E238" s="38"/>
      <c r="F238" s="156"/>
      <c r="G238" s="156"/>
      <c r="H238" s="157"/>
      <c r="I238" s="158"/>
      <c r="J238" s="166"/>
      <c r="K238" s="112"/>
      <c r="L238" s="159"/>
      <c r="M238" s="160"/>
      <c r="N238" s="161"/>
      <c r="O238" s="161"/>
      <c r="P238" s="162"/>
      <c r="Q238" s="107"/>
      <c r="R238" s="112"/>
      <c r="S238" s="159"/>
      <c r="T238" s="159"/>
      <c r="U238" s="107"/>
      <c r="V238" s="163"/>
      <c r="W238" s="159"/>
      <c r="X238" s="159"/>
      <c r="Y238" s="159"/>
      <c r="Z238" s="151"/>
      <c r="AA238" s="15"/>
    </row>
    <row r="239" spans="1:27" s="10" customFormat="1" ht="14.25" hidden="1" customHeight="1" x14ac:dyDescent="0.2">
      <c r="A239" s="134"/>
      <c r="B239" s="164"/>
      <c r="C239" s="165"/>
      <c r="D239" s="155"/>
      <c r="E239" s="38"/>
      <c r="F239" s="156"/>
      <c r="G239" s="156"/>
      <c r="H239" s="157"/>
      <c r="I239" s="158"/>
      <c r="J239" s="166"/>
      <c r="K239" s="112"/>
      <c r="L239" s="159"/>
      <c r="M239" s="160"/>
      <c r="N239" s="161"/>
      <c r="O239" s="161"/>
      <c r="P239" s="162"/>
      <c r="Q239" s="107"/>
      <c r="R239" s="112"/>
      <c r="S239" s="159"/>
      <c r="T239" s="159"/>
      <c r="U239" s="107"/>
      <c r="V239" s="163"/>
      <c r="W239" s="159"/>
      <c r="X239" s="159"/>
      <c r="Y239" s="159"/>
      <c r="Z239" s="151"/>
      <c r="AA239" s="15"/>
    </row>
    <row r="240" spans="1:27" s="10" customFormat="1" ht="14.25" hidden="1" customHeight="1" x14ac:dyDescent="0.2">
      <c r="A240" s="134"/>
      <c r="B240" s="164"/>
      <c r="C240" s="165"/>
      <c r="D240" s="155"/>
      <c r="E240" s="38"/>
      <c r="F240" s="156"/>
      <c r="G240" s="156"/>
      <c r="H240" s="157"/>
      <c r="I240" s="158"/>
      <c r="J240" s="166"/>
      <c r="K240" s="112"/>
      <c r="L240" s="159"/>
      <c r="M240" s="160"/>
      <c r="N240" s="161"/>
      <c r="O240" s="161"/>
      <c r="P240" s="162"/>
      <c r="Q240" s="107"/>
      <c r="R240" s="112"/>
      <c r="S240" s="159"/>
      <c r="T240" s="159"/>
      <c r="U240" s="107"/>
      <c r="V240" s="163"/>
      <c r="W240" s="159"/>
      <c r="X240" s="159"/>
      <c r="Y240" s="159"/>
      <c r="Z240" s="151"/>
      <c r="AA240" s="15"/>
    </row>
    <row r="241" spans="1:27" s="10" customFormat="1" ht="14.25" hidden="1" customHeight="1" x14ac:dyDescent="0.2">
      <c r="A241" s="134"/>
      <c r="B241" s="164"/>
      <c r="C241" s="165"/>
      <c r="D241" s="155"/>
      <c r="E241" s="38"/>
      <c r="F241" s="156"/>
      <c r="G241" s="156"/>
      <c r="H241" s="157"/>
      <c r="I241" s="158"/>
      <c r="J241" s="166"/>
      <c r="K241" s="112"/>
      <c r="L241" s="159"/>
      <c r="M241" s="160"/>
      <c r="N241" s="161"/>
      <c r="O241" s="161"/>
      <c r="P241" s="162"/>
      <c r="Q241" s="107"/>
      <c r="R241" s="112"/>
      <c r="S241" s="159"/>
      <c r="T241" s="159"/>
      <c r="U241" s="107"/>
      <c r="V241" s="163"/>
      <c r="W241" s="159"/>
      <c r="X241" s="159"/>
      <c r="Y241" s="159"/>
      <c r="Z241" s="151"/>
      <c r="AA241" s="15"/>
    </row>
    <row r="242" spans="1:27" s="10" customFormat="1" ht="14.25" hidden="1" customHeight="1" x14ac:dyDescent="0.2">
      <c r="A242" s="134"/>
      <c r="B242" s="164"/>
      <c r="C242" s="165"/>
      <c r="D242" s="155"/>
      <c r="E242" s="38"/>
      <c r="F242" s="156"/>
      <c r="G242" s="156"/>
      <c r="H242" s="157"/>
      <c r="I242" s="158"/>
      <c r="J242" s="166"/>
      <c r="K242" s="112"/>
      <c r="L242" s="159"/>
      <c r="M242" s="160"/>
      <c r="N242" s="161"/>
      <c r="O242" s="161"/>
      <c r="P242" s="162"/>
      <c r="Q242" s="107"/>
      <c r="R242" s="112"/>
      <c r="S242" s="159"/>
      <c r="T242" s="159"/>
      <c r="U242" s="107"/>
      <c r="V242" s="163"/>
      <c r="W242" s="159"/>
      <c r="X242" s="159"/>
      <c r="Y242" s="159"/>
      <c r="Z242" s="151"/>
      <c r="AA242" s="15"/>
    </row>
    <row r="243" spans="1:27" s="10" customFormat="1" ht="14.25" hidden="1" customHeight="1" x14ac:dyDescent="0.2">
      <c r="A243" s="134"/>
      <c r="B243" s="164"/>
      <c r="C243" s="165"/>
      <c r="D243" s="155"/>
      <c r="E243" s="38"/>
      <c r="F243" s="156"/>
      <c r="G243" s="156"/>
      <c r="H243" s="157"/>
      <c r="I243" s="158"/>
      <c r="J243" s="166"/>
      <c r="K243" s="112"/>
      <c r="L243" s="159"/>
      <c r="M243" s="160"/>
      <c r="N243" s="161"/>
      <c r="O243" s="161"/>
      <c r="P243" s="162"/>
      <c r="Q243" s="107"/>
      <c r="R243" s="112"/>
      <c r="S243" s="159"/>
      <c r="T243" s="159"/>
      <c r="U243" s="107"/>
      <c r="V243" s="163"/>
      <c r="W243" s="159"/>
      <c r="X243" s="159"/>
      <c r="Y243" s="159"/>
      <c r="Z243" s="151"/>
      <c r="AA243" s="15"/>
    </row>
    <row r="244" spans="1:27" s="10" customFormat="1" ht="14.25" hidden="1" customHeight="1" x14ac:dyDescent="0.2">
      <c r="A244" s="134"/>
      <c r="B244" s="164"/>
      <c r="C244" s="165"/>
      <c r="D244" s="155"/>
      <c r="E244" s="38"/>
      <c r="F244" s="156"/>
      <c r="G244" s="156"/>
      <c r="H244" s="157"/>
      <c r="I244" s="158"/>
      <c r="J244" s="166"/>
      <c r="K244" s="112"/>
      <c r="L244" s="159"/>
      <c r="M244" s="160"/>
      <c r="N244" s="161"/>
      <c r="O244" s="161"/>
      <c r="P244" s="162"/>
      <c r="Q244" s="107"/>
      <c r="R244" s="112"/>
      <c r="S244" s="159"/>
      <c r="T244" s="159"/>
      <c r="U244" s="107"/>
      <c r="V244" s="163"/>
      <c r="W244" s="159"/>
      <c r="X244" s="159"/>
      <c r="Y244" s="159"/>
      <c r="Z244" s="151"/>
      <c r="AA244" s="15"/>
    </row>
    <row r="245" spans="1:27" s="10" customFormat="1" ht="14.25" hidden="1" customHeight="1" x14ac:dyDescent="0.2">
      <c r="A245" s="134"/>
      <c r="B245" s="164"/>
      <c r="C245" s="165"/>
      <c r="D245" s="155"/>
      <c r="E245" s="38"/>
      <c r="F245" s="156"/>
      <c r="G245" s="156"/>
      <c r="H245" s="157"/>
      <c r="I245" s="158"/>
      <c r="J245" s="166"/>
      <c r="K245" s="112"/>
      <c r="L245" s="159"/>
      <c r="M245" s="160"/>
      <c r="N245" s="161"/>
      <c r="O245" s="161"/>
      <c r="P245" s="162"/>
      <c r="Q245" s="107"/>
      <c r="R245" s="112"/>
      <c r="S245" s="159"/>
      <c r="T245" s="159"/>
      <c r="U245" s="107"/>
      <c r="V245" s="163"/>
      <c r="W245" s="159"/>
      <c r="X245" s="159"/>
      <c r="Y245" s="159"/>
      <c r="Z245" s="151"/>
      <c r="AA245" s="15"/>
    </row>
    <row r="246" spans="1:27" s="10" customFormat="1" ht="14.25" hidden="1" customHeight="1" x14ac:dyDescent="0.2">
      <c r="A246" s="134"/>
      <c r="B246" s="164"/>
      <c r="C246" s="165"/>
      <c r="D246" s="155"/>
      <c r="E246" s="38"/>
      <c r="F246" s="156"/>
      <c r="G246" s="156"/>
      <c r="H246" s="157"/>
      <c r="I246" s="158"/>
      <c r="J246" s="166"/>
      <c r="K246" s="112"/>
      <c r="L246" s="159"/>
      <c r="M246" s="160"/>
      <c r="N246" s="161"/>
      <c r="O246" s="161"/>
      <c r="P246" s="162"/>
      <c r="Q246" s="107"/>
      <c r="R246" s="112"/>
      <c r="S246" s="159"/>
      <c r="T246" s="159"/>
      <c r="U246" s="107"/>
      <c r="V246" s="163"/>
      <c r="W246" s="159"/>
      <c r="X246" s="159"/>
      <c r="Y246" s="159"/>
      <c r="Z246" s="151"/>
      <c r="AA246" s="15"/>
    </row>
    <row r="247" spans="1:27" s="10" customFormat="1" ht="14.25" hidden="1" customHeight="1" x14ac:dyDescent="0.2">
      <c r="A247" s="134"/>
      <c r="B247" s="164"/>
      <c r="C247" s="165"/>
      <c r="D247" s="155"/>
      <c r="E247" s="38"/>
      <c r="F247" s="156"/>
      <c r="G247" s="156"/>
      <c r="H247" s="157"/>
      <c r="I247" s="158"/>
      <c r="J247" s="166"/>
      <c r="K247" s="112"/>
      <c r="L247" s="159"/>
      <c r="M247" s="160"/>
      <c r="N247" s="161"/>
      <c r="O247" s="161"/>
      <c r="P247" s="162"/>
      <c r="Q247" s="107"/>
      <c r="R247" s="112"/>
      <c r="S247" s="159"/>
      <c r="T247" s="159"/>
      <c r="U247" s="107"/>
      <c r="V247" s="163"/>
      <c r="W247" s="159"/>
      <c r="X247" s="159"/>
      <c r="Y247" s="159"/>
      <c r="Z247" s="151"/>
      <c r="AA247" s="15"/>
    </row>
    <row r="248" spans="1:27" s="10" customFormat="1" ht="14.25" hidden="1" customHeight="1" x14ac:dyDescent="0.2">
      <c r="A248" s="134"/>
      <c r="B248" s="164"/>
      <c r="C248" s="165"/>
      <c r="D248" s="155"/>
      <c r="E248" s="38"/>
      <c r="F248" s="156"/>
      <c r="G248" s="156"/>
      <c r="H248" s="157"/>
      <c r="I248" s="158"/>
      <c r="J248" s="166"/>
      <c r="K248" s="112"/>
      <c r="L248" s="159"/>
      <c r="M248" s="160"/>
      <c r="N248" s="161"/>
      <c r="O248" s="161"/>
      <c r="P248" s="162"/>
      <c r="Q248" s="107"/>
      <c r="R248" s="112"/>
      <c r="S248" s="159"/>
      <c r="T248" s="159"/>
      <c r="U248" s="107"/>
      <c r="V248" s="163"/>
      <c r="W248" s="159"/>
      <c r="X248" s="159"/>
      <c r="Y248" s="159"/>
      <c r="Z248" s="151"/>
      <c r="AA248" s="15"/>
    </row>
    <row r="249" spans="1:27" s="10" customFormat="1" ht="14.25" hidden="1" customHeight="1" x14ac:dyDescent="0.2">
      <c r="A249" s="134"/>
      <c r="B249" s="164"/>
      <c r="C249" s="165"/>
      <c r="D249" s="155"/>
      <c r="E249" s="38"/>
      <c r="F249" s="156"/>
      <c r="G249" s="156"/>
      <c r="H249" s="157"/>
      <c r="I249" s="158"/>
      <c r="J249" s="166"/>
      <c r="K249" s="112"/>
      <c r="L249" s="159"/>
      <c r="M249" s="160"/>
      <c r="N249" s="161"/>
      <c r="O249" s="161"/>
      <c r="P249" s="162"/>
      <c r="Q249" s="107"/>
      <c r="R249" s="112"/>
      <c r="S249" s="159"/>
      <c r="T249" s="159"/>
      <c r="U249" s="107"/>
      <c r="V249" s="163"/>
      <c r="W249" s="159"/>
      <c r="X249" s="159"/>
      <c r="Y249" s="159"/>
      <c r="Z249" s="151"/>
      <c r="AA249" s="15"/>
    </row>
    <row r="250" spans="1:27" s="10" customFormat="1" ht="14.25" hidden="1" customHeight="1" x14ac:dyDescent="0.2">
      <c r="A250" s="134"/>
      <c r="B250" s="164"/>
      <c r="C250" s="165"/>
      <c r="D250" s="155"/>
      <c r="E250" s="38"/>
      <c r="F250" s="156"/>
      <c r="G250" s="156"/>
      <c r="H250" s="157"/>
      <c r="I250" s="158"/>
      <c r="J250" s="166"/>
      <c r="K250" s="112"/>
      <c r="L250" s="159"/>
      <c r="M250" s="160"/>
      <c r="N250" s="161"/>
      <c r="O250" s="161"/>
      <c r="P250" s="162"/>
      <c r="Q250" s="107"/>
      <c r="R250" s="112"/>
      <c r="S250" s="159"/>
      <c r="T250" s="159"/>
      <c r="U250" s="107"/>
      <c r="V250" s="163"/>
      <c r="W250" s="159"/>
      <c r="X250" s="159"/>
      <c r="Y250" s="159"/>
      <c r="Z250" s="151"/>
      <c r="AA250" s="15"/>
    </row>
    <row r="251" spans="1:27" s="10" customFormat="1" ht="14.25" hidden="1" customHeight="1" x14ac:dyDescent="0.2">
      <c r="A251" s="134"/>
      <c r="B251" s="164"/>
      <c r="C251" s="165"/>
      <c r="D251" s="155"/>
      <c r="E251" s="38"/>
      <c r="F251" s="156"/>
      <c r="G251" s="156"/>
      <c r="H251" s="157"/>
      <c r="I251" s="158"/>
      <c r="J251" s="166"/>
      <c r="K251" s="112"/>
      <c r="L251" s="159"/>
      <c r="M251" s="160"/>
      <c r="N251" s="161"/>
      <c r="O251" s="161"/>
      <c r="P251" s="162"/>
      <c r="Q251" s="107"/>
      <c r="R251" s="112"/>
      <c r="S251" s="159"/>
      <c r="T251" s="159"/>
      <c r="U251" s="107"/>
      <c r="V251" s="163"/>
      <c r="W251" s="159"/>
      <c r="X251" s="159"/>
      <c r="Y251" s="159"/>
      <c r="Z251" s="151"/>
      <c r="AA251" s="15"/>
    </row>
    <row r="252" spans="1:27" s="10" customFormat="1" ht="14.25" hidden="1" customHeight="1" x14ac:dyDescent="0.2">
      <c r="A252" s="134"/>
      <c r="B252" s="164"/>
      <c r="C252" s="165"/>
      <c r="D252" s="155"/>
      <c r="E252" s="38"/>
      <c r="F252" s="156"/>
      <c r="G252" s="156"/>
      <c r="H252" s="157"/>
      <c r="I252" s="158"/>
      <c r="J252" s="166"/>
      <c r="K252" s="112"/>
      <c r="L252" s="159"/>
      <c r="M252" s="160"/>
      <c r="N252" s="161"/>
      <c r="O252" s="161"/>
      <c r="P252" s="162"/>
      <c r="Q252" s="107"/>
      <c r="R252" s="112"/>
      <c r="S252" s="159"/>
      <c r="T252" s="159"/>
      <c r="U252" s="107"/>
      <c r="V252" s="163"/>
      <c r="W252" s="159"/>
      <c r="X252" s="159"/>
      <c r="Y252" s="159"/>
      <c r="Z252" s="151"/>
      <c r="AA252" s="15"/>
    </row>
    <row r="253" spans="1:27" s="10" customFormat="1" ht="14.25" hidden="1" customHeight="1" x14ac:dyDescent="0.2">
      <c r="A253" s="134"/>
      <c r="B253" s="164"/>
      <c r="C253" s="165"/>
      <c r="D253" s="155"/>
      <c r="E253" s="38"/>
      <c r="F253" s="156"/>
      <c r="G253" s="156"/>
      <c r="H253" s="157"/>
      <c r="I253" s="158"/>
      <c r="J253" s="166"/>
      <c r="K253" s="112"/>
      <c r="L253" s="159"/>
      <c r="M253" s="160"/>
      <c r="N253" s="161"/>
      <c r="O253" s="161"/>
      <c r="P253" s="162"/>
      <c r="Q253" s="107"/>
      <c r="R253" s="112"/>
      <c r="S253" s="159"/>
      <c r="T253" s="159"/>
      <c r="U253" s="107"/>
      <c r="V253" s="163"/>
      <c r="W253" s="159"/>
      <c r="X253" s="159"/>
      <c r="Y253" s="159"/>
      <c r="Z253" s="151"/>
      <c r="AA253" s="15"/>
    </row>
    <row r="254" spans="1:27" s="10" customFormat="1" ht="14.25" hidden="1" customHeight="1" x14ac:dyDescent="0.2">
      <c r="A254" s="134"/>
      <c r="B254" s="164"/>
      <c r="C254" s="165"/>
      <c r="D254" s="155"/>
      <c r="E254" s="38"/>
      <c r="F254" s="156"/>
      <c r="G254" s="156"/>
      <c r="H254" s="157"/>
      <c r="I254" s="158"/>
      <c r="J254" s="166"/>
      <c r="K254" s="112"/>
      <c r="L254" s="159"/>
      <c r="M254" s="160"/>
      <c r="N254" s="161"/>
      <c r="O254" s="161"/>
      <c r="P254" s="162"/>
      <c r="Q254" s="107"/>
      <c r="R254" s="112"/>
      <c r="S254" s="159"/>
      <c r="T254" s="159"/>
      <c r="U254" s="107"/>
      <c r="V254" s="163"/>
      <c r="W254" s="159"/>
      <c r="X254" s="159"/>
      <c r="Y254" s="159"/>
      <c r="Z254" s="151"/>
      <c r="AA254" s="15"/>
    </row>
    <row r="255" spans="1:27" s="10" customFormat="1" ht="14.25" hidden="1" customHeight="1" x14ac:dyDescent="0.2">
      <c r="A255" s="134"/>
      <c r="B255" s="164"/>
      <c r="C255" s="165"/>
      <c r="D255" s="155"/>
      <c r="E255" s="38"/>
      <c r="F255" s="156"/>
      <c r="G255" s="156"/>
      <c r="H255" s="157"/>
      <c r="I255" s="158"/>
      <c r="J255" s="166"/>
      <c r="K255" s="112"/>
      <c r="L255" s="159"/>
      <c r="M255" s="160"/>
      <c r="N255" s="161"/>
      <c r="O255" s="161"/>
      <c r="P255" s="162"/>
      <c r="Q255" s="107"/>
      <c r="R255" s="112"/>
      <c r="S255" s="159"/>
      <c r="T255" s="159"/>
      <c r="U255" s="107"/>
      <c r="V255" s="163"/>
      <c r="W255" s="159"/>
      <c r="X255" s="159"/>
      <c r="Y255" s="159"/>
      <c r="Z255" s="151"/>
      <c r="AA255" s="15"/>
    </row>
    <row r="256" spans="1:27" s="10" customFormat="1" ht="14.25" hidden="1" customHeight="1" x14ac:dyDescent="0.2">
      <c r="A256" s="134"/>
      <c r="B256" s="164"/>
      <c r="C256" s="165"/>
      <c r="D256" s="155"/>
      <c r="E256" s="38"/>
      <c r="F256" s="156"/>
      <c r="G256" s="156"/>
      <c r="H256" s="157"/>
      <c r="I256" s="158"/>
      <c r="J256" s="166"/>
      <c r="K256" s="112"/>
      <c r="L256" s="159"/>
      <c r="M256" s="160"/>
      <c r="N256" s="161"/>
      <c r="O256" s="161"/>
      <c r="P256" s="162"/>
      <c r="Q256" s="107"/>
      <c r="R256" s="112"/>
      <c r="S256" s="159"/>
      <c r="T256" s="159"/>
      <c r="U256" s="107"/>
      <c r="V256" s="163"/>
      <c r="W256" s="159"/>
      <c r="X256" s="159"/>
      <c r="Y256" s="159"/>
      <c r="Z256" s="151"/>
      <c r="AA256" s="15"/>
    </row>
    <row r="257" spans="1:27" s="10" customFormat="1" ht="14.25" hidden="1" customHeight="1" x14ac:dyDescent="0.2">
      <c r="A257" s="134"/>
      <c r="B257" s="164"/>
      <c r="C257" s="165"/>
      <c r="D257" s="155"/>
      <c r="E257" s="38"/>
      <c r="F257" s="156"/>
      <c r="G257" s="156"/>
      <c r="H257" s="157"/>
      <c r="I257" s="158"/>
      <c r="J257" s="166"/>
      <c r="K257" s="112"/>
      <c r="L257" s="159"/>
      <c r="M257" s="160"/>
      <c r="N257" s="161"/>
      <c r="O257" s="161"/>
      <c r="P257" s="162"/>
      <c r="Q257" s="107"/>
      <c r="R257" s="112"/>
      <c r="S257" s="159"/>
      <c r="T257" s="159"/>
      <c r="U257" s="107"/>
      <c r="V257" s="163"/>
      <c r="W257" s="159"/>
      <c r="X257" s="159"/>
      <c r="Y257" s="159"/>
      <c r="Z257" s="151"/>
      <c r="AA257" s="15"/>
    </row>
    <row r="258" spans="1:27" s="10" customFormat="1" ht="14.25" customHeight="1" x14ac:dyDescent="0.2">
      <c r="A258" s="134"/>
      <c r="B258" s="164"/>
      <c r="C258" s="165"/>
      <c r="D258" s="155"/>
      <c r="E258" s="38"/>
      <c r="F258" s="156"/>
      <c r="G258" s="156"/>
      <c r="H258" s="157"/>
      <c r="I258" s="158"/>
      <c r="J258" s="166"/>
      <c r="K258" s="112"/>
      <c r="L258" s="159"/>
      <c r="M258" s="160"/>
      <c r="N258" s="161"/>
      <c r="O258" s="161"/>
      <c r="P258" s="162"/>
      <c r="Q258" s="107"/>
      <c r="R258" s="112"/>
      <c r="S258" s="159"/>
      <c r="T258" s="159"/>
      <c r="U258" s="107"/>
      <c r="V258" s="163"/>
      <c r="W258" s="159"/>
      <c r="X258" s="159"/>
      <c r="Y258" s="159"/>
      <c r="Z258" s="151"/>
      <c r="AA258" s="15"/>
    </row>
    <row r="259" spans="1:27" s="10" customFormat="1" ht="14.25" customHeight="1" x14ac:dyDescent="0.2">
      <c r="A259" s="134"/>
      <c r="B259" s="164"/>
      <c r="C259" s="165"/>
      <c r="D259" s="155"/>
      <c r="E259" s="38"/>
      <c r="F259" s="156"/>
      <c r="G259" s="156"/>
      <c r="H259" s="157"/>
      <c r="I259" s="158"/>
      <c r="J259" s="166"/>
      <c r="K259" s="112"/>
      <c r="L259" s="159"/>
      <c r="M259" s="160"/>
      <c r="N259" s="161"/>
      <c r="O259" s="161"/>
      <c r="P259" s="162"/>
      <c r="Q259" s="107"/>
      <c r="R259" s="112"/>
      <c r="S259" s="159"/>
      <c r="T259" s="159"/>
      <c r="U259" s="107"/>
      <c r="V259" s="163"/>
      <c r="W259" s="159"/>
      <c r="X259" s="159"/>
      <c r="Y259" s="159"/>
      <c r="Z259" s="151"/>
      <c r="AA259" s="15"/>
    </row>
    <row r="260" spans="1:27" s="10" customFormat="1" ht="14.25" customHeight="1" x14ac:dyDescent="0.2">
      <c r="A260" s="134"/>
      <c r="B260" s="164"/>
      <c r="C260" s="165"/>
      <c r="D260" s="155"/>
      <c r="E260" s="38"/>
      <c r="F260" s="156"/>
      <c r="G260" s="156"/>
      <c r="H260" s="157"/>
      <c r="I260" s="158"/>
      <c r="J260" s="166"/>
      <c r="K260" s="112"/>
      <c r="L260" s="159"/>
      <c r="M260" s="160"/>
      <c r="N260" s="161"/>
      <c r="O260" s="161"/>
      <c r="P260" s="162"/>
      <c r="Q260" s="107"/>
      <c r="R260" s="112"/>
      <c r="S260" s="159"/>
      <c r="T260" s="159"/>
      <c r="U260" s="107"/>
      <c r="V260" s="163"/>
      <c r="W260" s="159"/>
      <c r="X260" s="159"/>
      <c r="Y260" s="159"/>
      <c r="Z260" s="151"/>
      <c r="AA260" s="15"/>
    </row>
    <row r="261" spans="1:27" s="10" customFormat="1" ht="14.25" customHeight="1" x14ac:dyDescent="0.2">
      <c r="A261" s="134"/>
      <c r="B261" s="164"/>
      <c r="C261" s="165"/>
      <c r="D261" s="155"/>
      <c r="E261" s="38"/>
      <c r="F261" s="156"/>
      <c r="G261" s="156"/>
      <c r="H261" s="157"/>
      <c r="I261" s="158"/>
      <c r="J261" s="166"/>
      <c r="K261" s="112"/>
      <c r="L261" s="159"/>
      <c r="M261" s="160"/>
      <c r="N261" s="161"/>
      <c r="O261" s="161"/>
      <c r="P261" s="162"/>
      <c r="Q261" s="107"/>
      <c r="R261" s="112"/>
      <c r="S261" s="159"/>
      <c r="T261" s="159"/>
      <c r="U261" s="107"/>
      <c r="V261" s="163"/>
      <c r="W261" s="159"/>
      <c r="X261" s="159"/>
      <c r="Y261" s="159"/>
      <c r="Z261" s="151"/>
      <c r="AA261" s="15"/>
    </row>
    <row r="262" spans="1:27" s="10" customFormat="1" ht="14.25" customHeight="1" x14ac:dyDescent="0.2">
      <c r="A262" s="134"/>
      <c r="B262" s="164"/>
      <c r="C262" s="165"/>
      <c r="D262" s="155"/>
      <c r="E262" s="38"/>
      <c r="F262" s="156"/>
      <c r="G262" s="156"/>
      <c r="H262" s="157"/>
      <c r="I262" s="158"/>
      <c r="J262" s="166"/>
      <c r="K262" s="112"/>
      <c r="L262" s="159"/>
      <c r="M262" s="160"/>
      <c r="N262" s="161"/>
      <c r="O262" s="161"/>
      <c r="P262" s="162"/>
      <c r="Q262" s="171"/>
      <c r="R262" s="112"/>
      <c r="S262" s="159"/>
      <c r="T262" s="159"/>
      <c r="U262" s="171"/>
      <c r="V262" s="163"/>
      <c r="W262" s="159"/>
      <c r="X262" s="159"/>
      <c r="Y262" s="159"/>
      <c r="Z262" s="172"/>
      <c r="AA262" s="15"/>
    </row>
    <row r="263" spans="1:27" s="10" customFormat="1" ht="14.25" customHeight="1" thickBot="1" x14ac:dyDescent="0.25">
      <c r="A263" s="134"/>
      <c r="B263" s="173"/>
      <c r="C263" s="174"/>
      <c r="D263" s="175"/>
      <c r="E263" s="38"/>
      <c r="F263" s="176"/>
      <c r="G263" s="176"/>
      <c r="H263" s="177"/>
      <c r="I263" s="178"/>
      <c r="J263" s="179"/>
      <c r="K263" s="65"/>
      <c r="L263" s="180"/>
      <c r="M263" s="181"/>
      <c r="N263" s="182"/>
      <c r="O263" s="182"/>
      <c r="P263" s="183"/>
      <c r="Q263" s="184"/>
      <c r="R263" s="65"/>
      <c r="S263" s="180"/>
      <c r="T263" s="180"/>
      <c r="U263" s="184"/>
      <c r="V263" s="185"/>
      <c r="W263" s="159"/>
      <c r="X263" s="159"/>
      <c r="Y263" s="159"/>
      <c r="Z263" s="180"/>
      <c r="AA263" s="15"/>
    </row>
    <row r="264" spans="1:27" s="81" customFormat="1" ht="14.25" customHeight="1" thickTop="1" x14ac:dyDescent="0.25">
      <c r="B264" s="158" t="s">
        <v>33</v>
      </c>
      <c r="C264" s="77"/>
      <c r="H264" s="186"/>
      <c r="K264" s="2"/>
      <c r="L264" s="187">
        <f t="shared" ref="L264:Q264" si="14">SUM(L52:L263)</f>
        <v>0</v>
      </c>
      <c r="M264" s="187">
        <f t="shared" si="14"/>
        <v>0</v>
      </c>
      <c r="N264" s="187">
        <f t="shared" si="14"/>
        <v>0</v>
      </c>
      <c r="O264" s="187">
        <f t="shared" si="14"/>
        <v>0</v>
      </c>
      <c r="P264" s="187">
        <f t="shared" si="14"/>
        <v>0</v>
      </c>
      <c r="Q264" s="187">
        <f t="shared" si="14"/>
        <v>0</v>
      </c>
      <c r="R264" s="2"/>
      <c r="S264" s="187">
        <f>SUM(S52:S263)</f>
        <v>0</v>
      </c>
      <c r="T264" s="187">
        <f>SUM(T52:T263)</f>
        <v>0</v>
      </c>
      <c r="U264" s="187">
        <f>SUM(U52:U263)</f>
        <v>0</v>
      </c>
      <c r="V264" s="188"/>
      <c r="W264" s="189">
        <f>SUM(W52:W263)</f>
        <v>0</v>
      </c>
      <c r="X264" s="189">
        <f>SUM(X52:X263)</f>
        <v>0</v>
      </c>
      <c r="Y264" s="189">
        <f>SUM(Y52:Y263)</f>
        <v>0</v>
      </c>
      <c r="Z264" s="189">
        <f>SUM(Z52:Z263)</f>
        <v>0</v>
      </c>
      <c r="AA264" s="81">
        <f>SUM(AA52:AA263)</f>
        <v>0</v>
      </c>
    </row>
    <row r="265" spans="1:27" s="10" customFormat="1" ht="14.25" customHeight="1" x14ac:dyDescent="0.25">
      <c r="A265" s="2"/>
      <c r="C265" s="190"/>
      <c r="D265" s="191"/>
      <c r="E265" s="85"/>
      <c r="F265" s="86"/>
      <c r="G265" s="86"/>
      <c r="H265" s="87"/>
      <c r="R265" s="2"/>
      <c r="V265" s="188"/>
      <c r="W265" s="192"/>
    </row>
    <row r="266" spans="1:27" s="81" customFormat="1" ht="14.25" customHeight="1" x14ac:dyDescent="0.25">
      <c r="B266" s="193" t="s">
        <v>34</v>
      </c>
      <c r="C266" s="77"/>
      <c r="D266" s="77"/>
      <c r="E266" s="194"/>
      <c r="F266" s="195"/>
      <c r="G266" s="195"/>
      <c r="H266" s="196"/>
      <c r="I266" s="77"/>
      <c r="J266" s="77"/>
      <c r="K266" s="2"/>
      <c r="L266" s="197">
        <f>L29+L46+L264</f>
        <v>399600.00000000006</v>
      </c>
      <c r="M266" s="197">
        <f>M29+M46+M264</f>
        <v>25919.999999999996</v>
      </c>
      <c r="N266" s="197">
        <f>N29+N46+N264</f>
        <v>32400</v>
      </c>
      <c r="O266" s="197">
        <f>O264+O46+O29</f>
        <v>58320</v>
      </c>
      <c r="P266" s="197">
        <f>P29+P46+P264</f>
        <v>216000</v>
      </c>
      <c r="Q266" s="197">
        <f>Q29+Q46+Q264</f>
        <v>432000</v>
      </c>
      <c r="R266" s="2"/>
      <c r="S266" s="197">
        <f>S29+S46+S264</f>
        <v>216000</v>
      </c>
      <c r="T266" s="197">
        <f>T29+T46+T264</f>
        <v>0</v>
      </c>
      <c r="U266" s="197">
        <f>U29+U46+U264</f>
        <v>108000</v>
      </c>
      <c r="V266" s="188"/>
      <c r="W266" s="197">
        <f>W29+W46+W264</f>
        <v>673920</v>
      </c>
      <c r="X266" s="197">
        <f>X29+X46+X264</f>
        <v>0</v>
      </c>
      <c r="Y266" s="197">
        <f>Y46+Y264</f>
        <v>0</v>
      </c>
      <c r="Z266" s="198">
        <f>Z29+Z46+Z264</f>
        <v>540000</v>
      </c>
    </row>
    <row r="267" spans="1:27" s="10" customFormat="1" ht="14.25" customHeight="1" x14ac:dyDescent="0.25">
      <c r="A267" s="199"/>
      <c r="B267" s="200"/>
      <c r="C267" s="77"/>
      <c r="D267" s="77"/>
      <c r="E267" s="194"/>
      <c r="F267" s="195"/>
      <c r="G267" s="195"/>
      <c r="H267" s="196"/>
      <c r="I267" s="77"/>
      <c r="J267" s="77"/>
      <c r="K267" s="2"/>
      <c r="L267" s="12"/>
      <c r="M267" s="12"/>
      <c r="N267" s="201" t="s">
        <v>35</v>
      </c>
      <c r="O267" s="202">
        <f t="shared" ref="O267:U267" si="15">SUM(O52:O77)</f>
        <v>0</v>
      </c>
      <c r="P267" s="202">
        <f t="shared" si="15"/>
        <v>0</v>
      </c>
      <c r="Q267" s="202">
        <f t="shared" si="15"/>
        <v>0</v>
      </c>
      <c r="R267" s="202">
        <f t="shared" si="15"/>
        <v>0</v>
      </c>
      <c r="S267" s="203">
        <f t="shared" si="15"/>
        <v>0</v>
      </c>
      <c r="T267" s="203">
        <f t="shared" si="15"/>
        <v>0</v>
      </c>
      <c r="U267" s="203">
        <f t="shared" si="15"/>
        <v>0</v>
      </c>
      <c r="V267" s="12"/>
      <c r="W267" s="188"/>
      <c r="X267" s="12"/>
      <c r="Y267" s="204">
        <v>61177671</v>
      </c>
      <c r="Z267" s="205">
        <v>37803527</v>
      </c>
      <c r="AA267" s="206"/>
    </row>
    <row r="268" spans="1:27" s="10" customFormat="1" ht="14.25" customHeight="1" x14ac:dyDescent="0.25">
      <c r="A268" s="2"/>
      <c r="C268" s="2"/>
      <c r="D268" s="2"/>
      <c r="E268" s="3"/>
      <c r="F268" s="4"/>
      <c r="G268" s="4"/>
      <c r="H268" s="5"/>
      <c r="I268" s="2"/>
      <c r="J268" s="2"/>
      <c r="K268" s="2"/>
      <c r="L268" s="12"/>
      <c r="M268" s="12"/>
      <c r="N268" s="201" t="s">
        <v>36</v>
      </c>
      <c r="O268" s="202">
        <f>SUM(O78:O263)</f>
        <v>0</v>
      </c>
      <c r="P268" s="202">
        <f>SUM(P78:P263)</f>
        <v>0</v>
      </c>
      <c r="Q268" s="202">
        <f>SUM(Q78:Q263)</f>
        <v>0</v>
      </c>
      <c r="R268" s="207"/>
      <c r="S268" s="208">
        <f>SUM(S78:S263)</f>
        <v>0</v>
      </c>
      <c r="T268" s="208">
        <f>SUM(T78:T263)</f>
        <v>0</v>
      </c>
      <c r="U268" s="208">
        <f>SUM(U78:U263)</f>
        <v>0</v>
      </c>
      <c r="V268" s="12"/>
      <c r="W268" s="12"/>
      <c r="X268" s="12"/>
      <c r="Y268" s="209">
        <f>Y266-Y267</f>
        <v>-61177671</v>
      </c>
      <c r="Z268" s="12">
        <f>Z266-Z267</f>
        <v>-37263527</v>
      </c>
    </row>
    <row r="269" spans="1:27" s="10" customFormat="1" ht="14.25" customHeight="1" x14ac:dyDescent="0.25">
      <c r="A269" s="2"/>
      <c r="C269" s="2"/>
      <c r="D269" s="2"/>
      <c r="E269" s="3"/>
      <c r="F269" s="4"/>
      <c r="G269" s="4"/>
      <c r="H269" s="5"/>
      <c r="I269" s="2"/>
      <c r="J269" s="2"/>
      <c r="K269" s="2"/>
      <c r="L269" s="12"/>
      <c r="M269" s="12"/>
      <c r="N269" s="202"/>
      <c r="O269" s="202">
        <f>O264-(O267+O268)</f>
        <v>0</v>
      </c>
      <c r="P269" s="202">
        <f t="shared" ref="P269:U269" si="16">P264-(P267+P268)</f>
        <v>0</v>
      </c>
      <c r="Q269" s="202">
        <f t="shared" si="16"/>
        <v>0</v>
      </c>
      <c r="R269" s="207"/>
      <c r="S269" s="208">
        <f t="shared" si="16"/>
        <v>0</v>
      </c>
      <c r="T269" s="208">
        <f t="shared" si="16"/>
        <v>0</v>
      </c>
      <c r="U269" s="208">
        <f t="shared" si="16"/>
        <v>0</v>
      </c>
      <c r="V269" s="12"/>
      <c r="W269" s="12"/>
      <c r="X269" s="12"/>
      <c r="Y269" s="12"/>
      <c r="Z269" s="12"/>
    </row>
    <row r="270" spans="1:27" s="10" customFormat="1" ht="15.75" customHeight="1" x14ac:dyDescent="0.25">
      <c r="A270" s="2"/>
      <c r="C270" s="2"/>
      <c r="D270" s="2"/>
      <c r="E270" s="3"/>
      <c r="F270" s="4"/>
      <c r="G270" s="4"/>
      <c r="H270" s="5"/>
      <c r="I270" s="2"/>
      <c r="J270" s="2"/>
      <c r="K270" s="2"/>
      <c r="L270" s="12"/>
      <c r="M270" s="12"/>
      <c r="N270" s="12"/>
      <c r="O270" s="12"/>
      <c r="P270" s="12"/>
      <c r="Q270" s="12"/>
      <c r="R270" s="12"/>
      <c r="T270" s="12"/>
      <c r="U270" s="12"/>
      <c r="V270" s="12"/>
      <c r="W270" s="12"/>
      <c r="X270" s="12">
        <f>W46</f>
        <v>0</v>
      </c>
      <c r="Y270" s="210" t="s">
        <v>37</v>
      </c>
      <c r="Z270" s="12">
        <f>Z29</f>
        <v>540000</v>
      </c>
    </row>
    <row r="271" spans="1:27" s="10" customFormat="1" ht="15.75" customHeight="1" thickBot="1" x14ac:dyDescent="0.3">
      <c r="A271" s="2"/>
      <c r="C271" s="2"/>
      <c r="D271" s="2"/>
      <c r="E271" s="3"/>
      <c r="F271" s="4"/>
      <c r="G271" s="4"/>
      <c r="H271" s="5"/>
      <c r="I271" s="2"/>
      <c r="J271" s="2"/>
      <c r="K271" s="2"/>
      <c r="L271" s="12"/>
      <c r="M271" s="12"/>
      <c r="N271" s="12"/>
      <c r="O271" s="211" t="s">
        <v>38</v>
      </c>
      <c r="P271" s="212" t="s">
        <v>39</v>
      </c>
      <c r="Q271" s="212" t="s">
        <v>40</v>
      </c>
      <c r="R271" s="12"/>
      <c r="S271" s="211" t="s">
        <v>38</v>
      </c>
      <c r="T271" s="212" t="s">
        <v>39</v>
      </c>
      <c r="U271" s="212" t="s">
        <v>40</v>
      </c>
      <c r="V271" s="12"/>
      <c r="W271" s="12"/>
      <c r="X271" s="185">
        <f>W264</f>
        <v>0</v>
      </c>
      <c r="Y271" s="210" t="s">
        <v>32</v>
      </c>
      <c r="Z271" s="185">
        <f>Z46+Z264</f>
        <v>0</v>
      </c>
    </row>
    <row r="272" spans="1:27" ht="15.75" thickTop="1" x14ac:dyDescent="0.25"/>
  </sheetData>
  <mergeCells count="41">
    <mergeCell ref="W50:Z50"/>
    <mergeCell ref="G50:G51"/>
    <mergeCell ref="H50:H51"/>
    <mergeCell ref="I50:I51"/>
    <mergeCell ref="J50:J51"/>
    <mergeCell ref="L50:Q50"/>
    <mergeCell ref="S50:U50"/>
    <mergeCell ref="A50:A51"/>
    <mergeCell ref="B50:B51"/>
    <mergeCell ref="C50:C51"/>
    <mergeCell ref="D50:D51"/>
    <mergeCell ref="E50:E51"/>
    <mergeCell ref="F50:F51"/>
    <mergeCell ref="H33:H34"/>
    <mergeCell ref="I33:I34"/>
    <mergeCell ref="J33:J34"/>
    <mergeCell ref="L33:Q33"/>
    <mergeCell ref="S33:U33"/>
    <mergeCell ref="W33:Z33"/>
    <mergeCell ref="S2:U2"/>
    <mergeCell ref="W2:Z2"/>
    <mergeCell ref="A32:B32"/>
    <mergeCell ref="A33:A34"/>
    <mergeCell ref="B33:B34"/>
    <mergeCell ref="C33:C34"/>
    <mergeCell ref="D33:D34"/>
    <mergeCell ref="E33:E34"/>
    <mergeCell ref="F33:F34"/>
    <mergeCell ref="G33:G34"/>
    <mergeCell ref="F2:F3"/>
    <mergeCell ref="G2:G3"/>
    <mergeCell ref="H2:H3"/>
    <mergeCell ref="I2:I3"/>
    <mergeCell ref="J2:J3"/>
    <mergeCell ref="L2:Q2"/>
    <mergeCell ref="A1:B1"/>
    <mergeCell ref="A2:A3"/>
    <mergeCell ref="B2:B3"/>
    <mergeCell ref="C2:C3"/>
    <mergeCell ref="D2:D3"/>
    <mergeCell ref="E2:E3"/>
  </mergeCells>
  <conditionalFormatting sqref="I85">
    <cfRule type="duplicateValues" dxfId="54" priority="55"/>
  </conditionalFormatting>
  <conditionalFormatting sqref="I263:I271 I1:I42 I44:I210">
    <cfRule type="duplicateValues" dxfId="53" priority="54"/>
  </conditionalFormatting>
  <conditionalFormatting sqref="I262">
    <cfRule type="duplicateValues" dxfId="52" priority="53"/>
  </conditionalFormatting>
  <conditionalFormatting sqref="I260">
    <cfRule type="duplicateValues" dxfId="51" priority="52"/>
  </conditionalFormatting>
  <conditionalFormatting sqref="I259">
    <cfRule type="duplicateValues" dxfId="50" priority="51"/>
  </conditionalFormatting>
  <conditionalFormatting sqref="I258">
    <cfRule type="duplicateValues" dxfId="49" priority="50"/>
  </conditionalFormatting>
  <conditionalFormatting sqref="I218">
    <cfRule type="duplicateValues" dxfId="48" priority="49"/>
  </conditionalFormatting>
  <conditionalFormatting sqref="I217">
    <cfRule type="duplicateValues" dxfId="47" priority="48"/>
  </conditionalFormatting>
  <conditionalFormatting sqref="I216">
    <cfRule type="duplicateValues" dxfId="46" priority="47"/>
  </conditionalFormatting>
  <conditionalFormatting sqref="I215">
    <cfRule type="duplicateValues" dxfId="45" priority="46"/>
  </conditionalFormatting>
  <conditionalFormatting sqref="I213">
    <cfRule type="duplicateValues" dxfId="44" priority="45"/>
  </conditionalFormatting>
  <conditionalFormatting sqref="I211">
    <cfRule type="duplicateValues" dxfId="43" priority="44"/>
  </conditionalFormatting>
  <conditionalFormatting sqref="I214">
    <cfRule type="duplicateValues" dxfId="42" priority="43"/>
  </conditionalFormatting>
  <conditionalFormatting sqref="I212">
    <cfRule type="duplicateValues" dxfId="41" priority="42"/>
  </conditionalFormatting>
  <conditionalFormatting sqref="I228">
    <cfRule type="duplicateValues" dxfId="40" priority="41"/>
  </conditionalFormatting>
  <conditionalFormatting sqref="I219">
    <cfRule type="duplicateValues" dxfId="39" priority="40"/>
  </conditionalFormatting>
  <conditionalFormatting sqref="I227">
    <cfRule type="duplicateValues" dxfId="38" priority="39"/>
  </conditionalFormatting>
  <conditionalFormatting sqref="I226">
    <cfRule type="duplicateValues" dxfId="37" priority="38"/>
  </conditionalFormatting>
  <conditionalFormatting sqref="I225">
    <cfRule type="duplicateValues" dxfId="36" priority="37"/>
  </conditionalFormatting>
  <conditionalFormatting sqref="I224">
    <cfRule type="duplicateValues" dxfId="35" priority="36"/>
  </conditionalFormatting>
  <conditionalFormatting sqref="I223">
    <cfRule type="duplicateValues" dxfId="34" priority="35"/>
  </conditionalFormatting>
  <conditionalFormatting sqref="I222">
    <cfRule type="duplicateValues" dxfId="33" priority="34"/>
  </conditionalFormatting>
  <conditionalFormatting sqref="I221">
    <cfRule type="duplicateValues" dxfId="32" priority="33"/>
  </conditionalFormatting>
  <conditionalFormatting sqref="I220">
    <cfRule type="duplicateValues" dxfId="31" priority="32"/>
  </conditionalFormatting>
  <conditionalFormatting sqref="I257">
    <cfRule type="duplicateValues" dxfId="30" priority="31"/>
  </conditionalFormatting>
  <conditionalFormatting sqref="I233">
    <cfRule type="duplicateValues" dxfId="29" priority="30"/>
  </conditionalFormatting>
  <conditionalFormatting sqref="I232">
    <cfRule type="duplicateValues" dxfId="28" priority="29"/>
  </conditionalFormatting>
  <conditionalFormatting sqref="I231">
    <cfRule type="duplicateValues" dxfId="27" priority="28"/>
  </conditionalFormatting>
  <conditionalFormatting sqref="I230">
    <cfRule type="duplicateValues" dxfId="26" priority="27"/>
  </conditionalFormatting>
  <conditionalFormatting sqref="I229">
    <cfRule type="duplicateValues" dxfId="25" priority="26"/>
  </conditionalFormatting>
  <conditionalFormatting sqref="I43">
    <cfRule type="duplicateValues" dxfId="24" priority="25"/>
  </conditionalFormatting>
  <conditionalFormatting sqref="I261">
    <cfRule type="duplicateValues" dxfId="23" priority="24"/>
  </conditionalFormatting>
  <conditionalFormatting sqref="I256">
    <cfRule type="duplicateValues" dxfId="22" priority="23"/>
  </conditionalFormatting>
  <conditionalFormatting sqref="I255">
    <cfRule type="duplicateValues" dxfId="21" priority="22"/>
  </conditionalFormatting>
  <conditionalFormatting sqref="I254">
    <cfRule type="duplicateValues" dxfId="20" priority="21"/>
  </conditionalFormatting>
  <conditionalFormatting sqref="I253">
    <cfRule type="duplicateValues" dxfId="19" priority="20"/>
  </conditionalFormatting>
  <conditionalFormatting sqref="I252">
    <cfRule type="duplicateValues" dxfId="18" priority="19"/>
  </conditionalFormatting>
  <conditionalFormatting sqref="I251">
    <cfRule type="duplicateValues" dxfId="17" priority="18"/>
  </conditionalFormatting>
  <conditionalFormatting sqref="I250">
    <cfRule type="duplicateValues" dxfId="16" priority="17"/>
  </conditionalFormatting>
  <conditionalFormatting sqref="I241">
    <cfRule type="duplicateValues" dxfId="15" priority="16"/>
  </conditionalFormatting>
  <conditionalFormatting sqref="I240">
    <cfRule type="duplicateValues" dxfId="14" priority="15"/>
  </conditionalFormatting>
  <conditionalFormatting sqref="I239">
    <cfRule type="duplicateValues" dxfId="13" priority="14"/>
  </conditionalFormatting>
  <conditionalFormatting sqref="I238">
    <cfRule type="duplicateValues" dxfId="12" priority="13"/>
  </conditionalFormatting>
  <conditionalFormatting sqref="I237">
    <cfRule type="duplicateValues" dxfId="11" priority="12"/>
  </conditionalFormatting>
  <conditionalFormatting sqref="I236">
    <cfRule type="duplicateValues" dxfId="10" priority="11"/>
  </conditionalFormatting>
  <conditionalFormatting sqref="I235">
    <cfRule type="duplicateValues" dxfId="9" priority="10"/>
  </conditionalFormatting>
  <conditionalFormatting sqref="I234">
    <cfRule type="duplicateValues" dxfId="8" priority="9"/>
  </conditionalFormatting>
  <conditionalFormatting sqref="I249">
    <cfRule type="duplicateValues" dxfId="7" priority="8"/>
  </conditionalFormatting>
  <conditionalFormatting sqref="I248">
    <cfRule type="duplicateValues" dxfId="6" priority="7"/>
  </conditionalFormatting>
  <conditionalFormatting sqref="I247">
    <cfRule type="duplicateValues" dxfId="5" priority="6"/>
  </conditionalFormatting>
  <conditionalFormatting sqref="I246">
    <cfRule type="duplicateValues" dxfId="4" priority="5"/>
  </conditionalFormatting>
  <conditionalFormatting sqref="I245">
    <cfRule type="duplicateValues" dxfId="3" priority="4"/>
  </conditionalFormatting>
  <conditionalFormatting sqref="I244">
    <cfRule type="duplicateValues" dxfId="2" priority="3"/>
  </conditionalFormatting>
  <conditionalFormatting sqref="I243">
    <cfRule type="duplicateValues" dxfId="1" priority="2"/>
  </conditionalFormatting>
  <conditionalFormatting sqref="I2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2026-06-18T10:17:29Z</dcterms:created>
  <dcterms:modified xsi:type="dcterms:W3CDTF">2026-06-18T10:20:39Z</dcterms:modified>
</cp:coreProperties>
</file>