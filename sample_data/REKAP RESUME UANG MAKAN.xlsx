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aragon\www\instance1.uranop.com\sample_data\"/>
    </mc:Choice>
  </mc:AlternateContent>
  <xr:revisionPtr revIDLastSave="0" documentId="8_{CB433843-2CB3-45B0-BCC2-BCF79908BA4E}" xr6:coauthVersionLast="45" xr6:coauthVersionMax="45" xr10:uidLastSave="{00000000-0000-0000-0000-000000000000}"/>
  <bookViews>
    <workbookView xWindow="-120" yWindow="-120" windowWidth="21840" windowHeight="13020" tabRatio="916" firstSheet="1" activeTab="2" xr2:uid="{5B155C10-A7FE-4FA2-B96E-EB37A5C7F3AD}"/>
  </bookViews>
  <sheets>
    <sheet name="REKENING UNG" sheetId="9" state="hidden" r:id="rId1"/>
    <sheet name="UM DAN LEMBUR ALL IN JUNI'26" sheetId="4" r:id="rId2"/>
    <sheet name="RESUME GAJI" sheetId="11" r:id="rId3"/>
  </sheets>
  <externalReferences>
    <externalReference r:id="rId4"/>
    <externalReference r:id="rId5"/>
    <externalReference r:id="rId6"/>
  </externalReferences>
  <definedNames>
    <definedName name="_xlnm._FilterDatabase" localSheetId="0" hidden="1">'REKENING UNG'!$C$1:$C$411</definedName>
    <definedName name="_xlnm._FilterDatabase" localSheetId="1" hidden="1">'UM DAN LEMBUR ALL IN JUNI''26'!$P$2:$P$32</definedName>
    <definedName name="_xlnm.Print_Area" localSheetId="2">'RESUME GAJI'!$A$4:$U$62</definedName>
    <definedName name="_xlnm.Print_Area" localSheetId="1">'UM DAN LEMBUR ALL IN JUNI''26'!$A$3:$P$32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9" i="11" l="1"/>
  <c r="U130" i="11" s="1"/>
  <c r="D123" i="11"/>
  <c r="C123" i="11"/>
  <c r="U122" i="11"/>
  <c r="D122" i="11"/>
  <c r="C122" i="11"/>
  <c r="U120" i="11"/>
  <c r="U119" i="11"/>
  <c r="U118" i="11"/>
  <c r="U117" i="11"/>
  <c r="U116" i="11"/>
  <c r="U115" i="11"/>
  <c r="U114" i="11"/>
  <c r="U113" i="11"/>
  <c r="U112" i="11"/>
  <c r="U111" i="11"/>
  <c r="U110" i="11"/>
  <c r="U109" i="11"/>
  <c r="U108" i="11"/>
  <c r="U107" i="11"/>
  <c r="U106" i="11"/>
  <c r="U105" i="11"/>
  <c r="U104" i="11"/>
  <c r="U123" i="11" s="1"/>
  <c r="U125" i="11" s="1"/>
  <c r="A104" i="1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U103" i="11"/>
  <c r="K94" i="11"/>
  <c r="J94" i="11"/>
  <c r="G94" i="11"/>
  <c r="F94" i="11"/>
  <c r="U93" i="11"/>
  <c r="U94" i="11" s="1"/>
  <c r="K93" i="11"/>
  <c r="J93" i="11"/>
  <c r="I93" i="11"/>
  <c r="I94" i="11" s="1"/>
  <c r="H93" i="11"/>
  <c r="H94" i="11" s="1"/>
  <c r="G93" i="11"/>
  <c r="F93" i="11"/>
  <c r="U92" i="11"/>
  <c r="K92" i="11"/>
  <c r="J92" i="11"/>
  <c r="I92" i="11"/>
  <c r="H92" i="11"/>
  <c r="G92" i="11"/>
  <c r="F92" i="11"/>
  <c r="U90" i="11"/>
  <c r="U89" i="11"/>
  <c r="U88" i="11"/>
  <c r="U87" i="11"/>
  <c r="U86" i="11"/>
  <c r="U85" i="11"/>
  <c r="U84" i="11"/>
  <c r="U83" i="11"/>
  <c r="U82" i="11"/>
  <c r="U81" i="11"/>
  <c r="U80" i="11"/>
  <c r="U79" i="11"/>
  <c r="U78" i="11"/>
  <c r="U77" i="11"/>
  <c r="U76" i="11"/>
  <c r="U75" i="11"/>
  <c r="U74" i="11"/>
  <c r="A74" i="1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U73" i="11"/>
  <c r="U62" i="11"/>
  <c r="T57" i="11"/>
  <c r="S57" i="11"/>
  <c r="P57" i="11"/>
  <c r="U56" i="11"/>
  <c r="T56" i="11"/>
  <c r="S56" i="11"/>
  <c r="R56" i="11"/>
  <c r="R57" i="11" s="1"/>
  <c r="Q56" i="11"/>
  <c r="Q57" i="11" s="1"/>
  <c r="P56" i="11"/>
  <c r="O56" i="11"/>
  <c r="N56" i="11"/>
  <c r="M56" i="11"/>
  <c r="L56" i="11"/>
  <c r="L57" i="11" s="1"/>
  <c r="K56" i="11"/>
  <c r="K57" i="11" s="1"/>
  <c r="J56" i="11"/>
  <c r="J57" i="11" s="1"/>
  <c r="I56" i="11"/>
  <c r="I57" i="11" s="1"/>
  <c r="H56" i="11"/>
  <c r="H57" i="11" s="1"/>
  <c r="F56" i="11"/>
  <c r="T55" i="11"/>
  <c r="T61" i="11" s="1"/>
  <c r="S55" i="11"/>
  <c r="S61" i="11" s="1"/>
  <c r="R55" i="11"/>
  <c r="R61" i="11" s="1"/>
  <c r="Q55" i="11"/>
  <c r="Q61" i="11" s="1"/>
  <c r="P55" i="11"/>
  <c r="P61" i="11" s="1"/>
  <c r="N55" i="11"/>
  <c r="N61" i="11" s="1"/>
  <c r="L55" i="11"/>
  <c r="L61" i="11" s="1"/>
  <c r="K55" i="11"/>
  <c r="J55" i="11"/>
  <c r="J61" i="11" s="1"/>
  <c r="I55" i="11"/>
  <c r="I61" i="11" s="1"/>
  <c r="H55" i="11"/>
  <c r="H61" i="11" s="1"/>
  <c r="G55" i="11"/>
  <c r="F55" i="11"/>
  <c r="F61" i="11" s="1"/>
  <c r="D55" i="11"/>
  <c r="C56" i="11" s="1"/>
  <c r="C55" i="11"/>
  <c r="C61" i="11" s="1"/>
  <c r="M52" i="11"/>
  <c r="O52" i="11" s="1"/>
  <c r="E52" i="11"/>
  <c r="U51" i="11"/>
  <c r="O51" i="11"/>
  <c r="M51" i="11"/>
  <c r="E51" i="11"/>
  <c r="U50" i="11"/>
  <c r="O50" i="11"/>
  <c r="M50" i="11"/>
  <c r="E50" i="11"/>
  <c r="M49" i="11"/>
  <c r="U49" i="11" s="1"/>
  <c r="E49" i="11"/>
  <c r="M48" i="11"/>
  <c r="U48" i="11" s="1"/>
  <c r="E48" i="11"/>
  <c r="U47" i="11"/>
  <c r="O47" i="11"/>
  <c r="M47" i="11"/>
  <c r="E47" i="11"/>
  <c r="U46" i="11"/>
  <c r="O46" i="11"/>
  <c r="M46" i="11"/>
  <c r="E46" i="11"/>
  <c r="M45" i="11"/>
  <c r="U45" i="11" s="1"/>
  <c r="E45" i="11"/>
  <c r="M44" i="11"/>
  <c r="E44" i="11"/>
  <c r="U43" i="11"/>
  <c r="O43" i="11"/>
  <c r="M43" i="11"/>
  <c r="E43" i="11"/>
  <c r="U42" i="11"/>
  <c r="O42" i="11"/>
  <c r="M42" i="11"/>
  <c r="E42" i="11"/>
  <c r="M41" i="11"/>
  <c r="U41" i="11" s="1"/>
  <c r="E41" i="11"/>
  <c r="M40" i="11"/>
  <c r="E40" i="11"/>
  <c r="U39" i="11"/>
  <c r="O39" i="11"/>
  <c r="M39" i="11"/>
  <c r="E39" i="11"/>
  <c r="U38" i="11"/>
  <c r="O38" i="11"/>
  <c r="M38" i="11"/>
  <c r="E38" i="11"/>
  <c r="A38" i="1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M37" i="11"/>
  <c r="U37" i="11" s="1"/>
  <c r="E37" i="11"/>
  <c r="A37" i="11"/>
  <c r="M36" i="11"/>
  <c r="E36" i="11"/>
  <c r="A36" i="11"/>
  <c r="U35" i="11"/>
  <c r="O35" i="11"/>
  <c r="M35" i="11"/>
  <c r="E35" i="11"/>
  <c r="F33" i="11"/>
  <c r="R30" i="11"/>
  <c r="Q30" i="11"/>
  <c r="U29" i="11"/>
  <c r="T29" i="11"/>
  <c r="T30" i="11" s="1"/>
  <c r="S29" i="11"/>
  <c r="S30" i="11" s="1"/>
  <c r="R29" i="11"/>
  <c r="Q29" i="11"/>
  <c r="P29" i="11"/>
  <c r="P30" i="11" s="1"/>
  <c r="O29" i="11"/>
  <c r="N29" i="11"/>
  <c r="M29" i="11"/>
  <c r="L29" i="11"/>
  <c r="L30" i="11" s="1"/>
  <c r="K29" i="11"/>
  <c r="K30" i="11" s="1"/>
  <c r="J29" i="11"/>
  <c r="J30" i="11" s="1"/>
  <c r="I29" i="11"/>
  <c r="I30" i="11" s="1"/>
  <c r="H29" i="11"/>
  <c r="H30" i="11" s="1"/>
  <c r="F29" i="11"/>
  <c r="F30" i="11" s="1"/>
  <c r="T28" i="11"/>
  <c r="S28" i="11"/>
  <c r="R28" i="11"/>
  <c r="Q28" i="11"/>
  <c r="P28" i="11"/>
  <c r="N28" i="11"/>
  <c r="L28" i="11"/>
  <c r="K28" i="11"/>
  <c r="J28" i="11"/>
  <c r="I28" i="11"/>
  <c r="H28" i="11"/>
  <c r="G28" i="11"/>
  <c r="G30" i="11" s="1"/>
  <c r="F28" i="11"/>
  <c r="D28" i="11"/>
  <c r="C28" i="11"/>
  <c r="C29" i="11" s="1"/>
  <c r="U26" i="11"/>
  <c r="O26" i="11"/>
  <c r="M26" i="11"/>
  <c r="E26" i="11"/>
  <c r="M25" i="11"/>
  <c r="U25" i="11" s="1"/>
  <c r="E25" i="11"/>
  <c r="M24" i="11"/>
  <c r="E24" i="11"/>
  <c r="U23" i="11"/>
  <c r="O23" i="11"/>
  <c r="M23" i="11"/>
  <c r="E23" i="11"/>
  <c r="U22" i="11"/>
  <c r="O22" i="11"/>
  <c r="M22" i="11"/>
  <c r="E22" i="11"/>
  <c r="M21" i="11"/>
  <c r="U21" i="11" s="1"/>
  <c r="E21" i="11"/>
  <c r="M20" i="11"/>
  <c r="E20" i="11"/>
  <c r="U19" i="11"/>
  <c r="O19" i="11"/>
  <c r="M19" i="11"/>
  <c r="E19" i="11"/>
  <c r="U18" i="11"/>
  <c r="O18" i="11"/>
  <c r="M18" i="11"/>
  <c r="E18" i="11"/>
  <c r="M17" i="11"/>
  <c r="U17" i="11" s="1"/>
  <c r="E17" i="11"/>
  <c r="M16" i="11"/>
  <c r="E16" i="11"/>
  <c r="U15" i="11"/>
  <c r="O15" i="11"/>
  <c r="M15" i="11"/>
  <c r="E15" i="11"/>
  <c r="U14" i="11"/>
  <c r="O14" i="11"/>
  <c r="M14" i="11"/>
  <c r="E14" i="11"/>
  <c r="M13" i="11"/>
  <c r="U13" i="11" s="1"/>
  <c r="E13" i="11"/>
  <c r="M12" i="11"/>
  <c r="E12" i="11"/>
  <c r="U11" i="11"/>
  <c r="O11" i="11"/>
  <c r="M11" i="11"/>
  <c r="E11" i="1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U10" i="11"/>
  <c r="O10" i="11"/>
  <c r="M10" i="11"/>
  <c r="E10" i="11"/>
  <c r="U20" i="11" l="1"/>
  <c r="O20" i="11"/>
  <c r="O36" i="11"/>
  <c r="M55" i="11"/>
  <c r="U36" i="11"/>
  <c r="C62" i="11"/>
  <c r="U24" i="11"/>
  <c r="O24" i="11"/>
  <c r="M57" i="11"/>
  <c r="O12" i="11"/>
  <c r="O28" i="11" s="1"/>
  <c r="U12" i="11"/>
  <c r="O40" i="11"/>
  <c r="U40" i="11"/>
  <c r="M28" i="11"/>
  <c r="O16" i="11"/>
  <c r="U16" i="11"/>
  <c r="U28" i="11" s="1"/>
  <c r="M30" i="11"/>
  <c r="O44" i="11"/>
  <c r="U44" i="11"/>
  <c r="G61" i="11"/>
  <c r="K61" i="11"/>
  <c r="D61" i="11"/>
  <c r="O48" i="11"/>
  <c r="F57" i="11"/>
  <c r="O13" i="11"/>
  <c r="O17" i="11"/>
  <c r="O21" i="11"/>
  <c r="O25" i="11"/>
  <c r="O37" i="11"/>
  <c r="O41" i="11"/>
  <c r="O45" i="11"/>
  <c r="O49" i="11"/>
  <c r="O55" i="11" s="1"/>
  <c r="O61" i="11" s="1"/>
  <c r="U52" i="11"/>
  <c r="G57" i="11"/>
  <c r="U135" i="11" l="1"/>
  <c r="U30" i="11"/>
  <c r="U55" i="11"/>
  <c r="M61" i="11"/>
  <c r="U61" i="11" l="1"/>
  <c r="U57" i="11"/>
  <c r="J27" i="4" l="1"/>
  <c r="L27" i="4" l="1"/>
  <c r="K27" i="4"/>
  <c r="N27" i="4" s="1"/>
  <c r="P27" i="4" s="1"/>
  <c r="J11" i="4" l="1"/>
  <c r="K11" i="4" l="1"/>
  <c r="L11" i="4"/>
  <c r="N11" i="4" l="1"/>
  <c r="P11" i="4" s="1"/>
  <c r="N30" i="4" l="1"/>
  <c r="N29" i="4"/>
  <c r="N28" i="4"/>
  <c r="M32" i="4" l="1"/>
  <c r="O32" i="4"/>
  <c r="K37" i="4" l="1"/>
  <c r="O39" i="4"/>
  <c r="O42" i="4" s="1"/>
  <c r="L37" i="4"/>
  <c r="N37" i="4" l="1"/>
  <c r="M39" i="4"/>
  <c r="M42" i="4" s="1"/>
  <c r="N39" i="4" l="1"/>
  <c r="P28" i="4" l="1"/>
  <c r="P29" i="4"/>
  <c r="P30" i="4"/>
  <c r="J26" i="4"/>
  <c r="J25" i="4"/>
  <c r="J24" i="4"/>
  <c r="D24" i="4"/>
  <c r="K26" i="4" l="1"/>
  <c r="L25" i="4"/>
  <c r="K24" i="4"/>
  <c r="K25" i="4"/>
  <c r="L26" i="4"/>
  <c r="L24" i="4"/>
  <c r="N25" i="4" l="1"/>
  <c r="N26" i="4"/>
  <c r="P26" i="4" s="1"/>
  <c r="N24" i="4"/>
  <c r="P24" i="4" l="1"/>
  <c r="P25" i="4"/>
  <c r="D6" i="4" l="1"/>
  <c r="D7" i="4"/>
  <c r="D8" i="4"/>
  <c r="D9" i="4"/>
  <c r="D10" i="4"/>
  <c r="D12" i="4"/>
  <c r="D13" i="4"/>
  <c r="D14" i="4"/>
  <c r="D15" i="4"/>
  <c r="D16" i="4"/>
  <c r="D17" i="4"/>
  <c r="D19" i="4"/>
  <c r="D20" i="4"/>
  <c r="D21" i="4"/>
  <c r="D22" i="4"/>
  <c r="D37" i="4"/>
  <c r="D23" i="4"/>
  <c r="D5" i="4"/>
  <c r="J23" i="4" l="1"/>
  <c r="K23" i="4" l="1"/>
  <c r="L23" i="4"/>
  <c r="N23" i="4" l="1"/>
  <c r="P23" i="4" s="1"/>
  <c r="J18" i="4" l="1"/>
  <c r="J6" i="4"/>
  <c r="J7" i="4"/>
  <c r="J8" i="4"/>
  <c r="J9" i="4"/>
  <c r="J10" i="4"/>
  <c r="J12" i="4"/>
  <c r="J13" i="4"/>
  <c r="J14" i="4"/>
  <c r="J15" i="4"/>
  <c r="J16" i="4"/>
  <c r="J17" i="4"/>
  <c r="J19" i="4"/>
  <c r="J20" i="4"/>
  <c r="J21" i="4"/>
  <c r="J22" i="4"/>
  <c r="J37" i="4"/>
  <c r="J5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7" i="4" l="1"/>
  <c r="P37" i="4"/>
  <c r="J32" i="4"/>
  <c r="J39" i="4"/>
  <c r="K18" i="4"/>
  <c r="L8" i="4"/>
  <c r="L17" i="4"/>
  <c r="L14" i="4"/>
  <c r="L9" i="4"/>
  <c r="L19" i="4"/>
  <c r="L12" i="4"/>
  <c r="L7" i="4"/>
  <c r="L13" i="4"/>
  <c r="L16" i="4"/>
  <c r="K7" i="4"/>
  <c r="L5" i="4"/>
  <c r="L18" i="4"/>
  <c r="L6" i="4"/>
  <c r="L21" i="4"/>
  <c r="K22" i="4"/>
  <c r="K6" i="4"/>
  <c r="L20" i="4"/>
  <c r="K21" i="4"/>
  <c r="L22" i="4"/>
  <c r="K15" i="4"/>
  <c r="K10" i="4"/>
  <c r="K13" i="4"/>
  <c r="K5" i="4"/>
  <c r="K20" i="4"/>
  <c r="K16" i="4"/>
  <c r="K8" i="4"/>
  <c r="K12" i="4"/>
  <c r="L15" i="4"/>
  <c r="L10" i="4"/>
  <c r="K19" i="4"/>
  <c r="K17" i="4"/>
  <c r="K14" i="4"/>
  <c r="K9" i="4"/>
  <c r="N5" i="4" l="1"/>
  <c r="N19" i="4"/>
  <c r="P19" i="4" s="1"/>
  <c r="N20" i="4"/>
  <c r="P20" i="4" s="1"/>
  <c r="N21" i="4"/>
  <c r="N7" i="4"/>
  <c r="P7" i="4" s="1"/>
  <c r="N10" i="4"/>
  <c r="P10" i="4" s="1"/>
  <c r="J42" i="4"/>
  <c r="N8" i="4"/>
  <c r="P8" i="4" s="1"/>
  <c r="N22" i="4"/>
  <c r="N18" i="4"/>
  <c r="N9" i="4"/>
  <c r="P9" i="4" s="1"/>
  <c r="N16" i="4"/>
  <c r="N13" i="4"/>
  <c r="N14" i="4"/>
  <c r="P14" i="4" s="1"/>
  <c r="N17" i="4"/>
  <c r="N12" i="4"/>
  <c r="N15" i="4"/>
  <c r="P15" i="4" s="1"/>
  <c r="N6" i="4"/>
  <c r="P6" i="4" s="1"/>
  <c r="K32" i="4"/>
  <c r="L32" i="4"/>
  <c r="K39" i="4"/>
  <c r="L39" i="4"/>
  <c r="P5" i="4"/>
  <c r="P21" i="4"/>
  <c r="P22" i="4" l="1"/>
  <c r="P17" i="4"/>
  <c r="P16" i="4"/>
  <c r="P12" i="4"/>
  <c r="P13" i="4"/>
  <c r="P18" i="4"/>
  <c r="N32" i="4"/>
  <c r="N42" i="4" s="1"/>
  <c r="K42" i="4"/>
  <c r="L42" i="4"/>
  <c r="P39" i="4"/>
  <c r="P32" i="4" l="1"/>
  <c r="P42" i="4" s="1"/>
</calcChain>
</file>

<file path=xl/sharedStrings.xml><?xml version="1.0" encoding="utf-8"?>
<sst xmlns="http://schemas.openxmlformats.org/spreadsheetml/2006/main" count="1833" uniqueCount="783">
  <si>
    <t>ALL IN</t>
  </si>
  <si>
    <t>DUA</t>
  </si>
  <si>
    <t>UM</t>
  </si>
  <si>
    <t>L</t>
  </si>
  <si>
    <t>SUPRAPTI</t>
  </si>
  <si>
    <t>AGUSTINUS DHARIAN TAHTA SUPRIYADI</t>
  </si>
  <si>
    <t>KEPALA SHIFT</t>
  </si>
  <si>
    <t>FULL</t>
  </si>
  <si>
    <t>SUGENG WIBOWO</t>
  </si>
  <si>
    <t>BAGIAN</t>
  </si>
  <si>
    <t>HANDIKA DENI SINTARA</t>
  </si>
  <si>
    <t>ERAWAN PRAYUDA</t>
  </si>
  <si>
    <t>AZIZ SISWANTO</t>
  </si>
  <si>
    <t>FATKUR ROHMAN</t>
  </si>
  <si>
    <t>FANDI FABRIAN</t>
  </si>
  <si>
    <t>ANDI SETIAWAN</t>
  </si>
  <si>
    <t>GHOFAR ARIEF RIATMOKO</t>
  </si>
  <si>
    <t>MUHAMAD ARWANI</t>
  </si>
  <si>
    <t>DEWI NUR FAIYAH</t>
  </si>
  <si>
    <t>SANI NUR FAJRIYAH</t>
  </si>
  <si>
    <t>RIZKY PRADEVI UTAMI</t>
  </si>
  <si>
    <t>ENDANG PURNAMA SARI</t>
  </si>
  <si>
    <t>JAJANG IRPAN</t>
  </si>
  <si>
    <t>ANDI NURHANDI</t>
  </si>
  <si>
    <t>IBNU HAKIM</t>
  </si>
  <si>
    <t>AGUS SETIAWAN</t>
  </si>
  <si>
    <t>NINA</t>
  </si>
  <si>
    <t>EDI SUPARMAN</t>
  </si>
  <si>
    <t>NUR ALI</t>
  </si>
  <si>
    <t>NUR SETIA ALIF</t>
  </si>
  <si>
    <t>YOHANES PRAYITNO</t>
  </si>
  <si>
    <t>BAYU SETIYAWAN</t>
  </si>
  <si>
    <t>SRI SUTARNI</t>
  </si>
  <si>
    <t>RISKA ANGGRAENI</t>
  </si>
  <si>
    <t>AMBARWATI</t>
  </si>
  <si>
    <t>1/2 HK</t>
  </si>
  <si>
    <t>No</t>
  </si>
  <si>
    <t>NAMA</t>
  </si>
  <si>
    <t>LEMBUR SABTU</t>
  </si>
  <si>
    <t>LEMBUR MINGGU</t>
  </si>
  <si>
    <t>UANG MAKAN</t>
  </si>
  <si>
    <t>TOTAL</t>
  </si>
  <si>
    <t>DWI SETYAWATI</t>
  </si>
  <si>
    <t>DIAN ANDRIANI</t>
  </si>
  <si>
    <t>MARHALI</t>
  </si>
  <si>
    <t>REVISI</t>
  </si>
  <si>
    <t>AGUNG PANUNTUN PRASTYO</t>
  </si>
  <si>
    <t>PT. KEMILAU UNGARAN SUKSES</t>
  </si>
  <si>
    <t>I. KARYAWAN BULANAN UNGARAN</t>
  </si>
  <si>
    <t>A.  ALL IN</t>
  </si>
  <si>
    <t>TOTAL BULANAN</t>
  </si>
  <si>
    <t>UOB</t>
  </si>
  <si>
    <t>SALATIGA</t>
  </si>
  <si>
    <t>4441008648</t>
  </si>
  <si>
    <t>BANDUNG</t>
  </si>
  <si>
    <t>JUANDA</t>
  </si>
  <si>
    <t>4443714485</t>
  </si>
  <si>
    <t>4443715449</t>
  </si>
  <si>
    <t>PENERIMA</t>
  </si>
  <si>
    <t>NOREK</t>
  </si>
  <si>
    <t>CABANG</t>
  </si>
  <si>
    <t>BANK</t>
  </si>
  <si>
    <t>SEPTIANA TRISNIATI</t>
  </si>
  <si>
    <t>AMIN</t>
  </si>
  <si>
    <t>RISA TOFANTISARI</t>
  </si>
  <si>
    <t>JAIS</t>
  </si>
  <si>
    <t>MIFTAHUDIN</t>
  </si>
  <si>
    <t>SUYONO</t>
  </si>
  <si>
    <t>Dwi Widiyanti</t>
  </si>
  <si>
    <t>MUHAMAD RIZALUDIN</t>
  </si>
  <si>
    <t>DWI RETNO PRASTYO</t>
  </si>
  <si>
    <t>PUTRI TIKA FRIANDARI</t>
  </si>
  <si>
    <t>SON HAJI</t>
  </si>
  <si>
    <t>CUCUN EDI KURNIAWAN</t>
  </si>
  <si>
    <t>NURSIDI</t>
  </si>
  <si>
    <t>ASMANAH</t>
  </si>
  <si>
    <t>EKO PRASETYO</t>
  </si>
  <si>
    <t>MUSDIANTO</t>
  </si>
  <si>
    <t>AHMAD MUHAIMIN</t>
  </si>
  <si>
    <t>NUOR AYSYAH</t>
  </si>
  <si>
    <t>LAILA NUR ISNAINI</t>
  </si>
  <si>
    <t>SOVIAH</t>
  </si>
  <si>
    <t>EKA WIDYASTUTIK</t>
  </si>
  <si>
    <t>NADYA SANDITIA PRATAMA</t>
  </si>
  <si>
    <t>PUTRI WULANSARI</t>
  </si>
  <si>
    <t>SITI ROKHANINGSIH</t>
  </si>
  <si>
    <t>RIYADHUL MAIYAH</t>
  </si>
  <si>
    <t>NOVIA SUSANTI</t>
  </si>
  <si>
    <t>FIFI SETIANIFA</t>
  </si>
  <si>
    <t>FADLILATUN NUR LAELA</t>
  </si>
  <si>
    <t>GENAH LISNAWATI</t>
  </si>
  <si>
    <t>NURYAMTI</t>
  </si>
  <si>
    <t>SRIYANI</t>
  </si>
  <si>
    <t>ARIFATUN</t>
  </si>
  <si>
    <t>NUR HAYATI</t>
  </si>
  <si>
    <t>SEPTI ENY</t>
  </si>
  <si>
    <t>IKA FEBRIANTI</t>
  </si>
  <si>
    <t>SRI BUDI HARTI</t>
  </si>
  <si>
    <t>TRIYANTININGSIH</t>
  </si>
  <si>
    <t>SUYANTI</t>
  </si>
  <si>
    <t>SITI NURCHAYATI</t>
  </si>
  <si>
    <t>UMI KULSUM</t>
  </si>
  <si>
    <t>SRI MARYATI</t>
  </si>
  <si>
    <t>ISTIKOMAH</t>
  </si>
  <si>
    <t>MUDRIKAH</t>
  </si>
  <si>
    <t>DEWI PRASETYOWATI</t>
  </si>
  <si>
    <t>TURYATI</t>
  </si>
  <si>
    <t>KHOMSATUN</t>
  </si>
  <si>
    <t>DEVITA FITRI INDRASARI</t>
  </si>
  <si>
    <t>IIS SUGIHARTI</t>
  </si>
  <si>
    <t>EKO NURWACHID</t>
  </si>
  <si>
    <t>AGUS PRIYONO</t>
  </si>
  <si>
    <t>ALI SAFI'I MUSHUDIANTO</t>
  </si>
  <si>
    <t>CHOLID MAWARDI</t>
  </si>
  <si>
    <t>SODIQ ANWAR</t>
  </si>
  <si>
    <t>PURWANTO</t>
  </si>
  <si>
    <t>SURYADI</t>
  </si>
  <si>
    <t>MOHAMAD BAEDOWI</t>
  </si>
  <si>
    <t>ABDUL ROCHIM</t>
  </si>
  <si>
    <t>MUHAMAD</t>
  </si>
  <si>
    <t>RENDY PERDANA KUSUMA</t>
  </si>
  <si>
    <t>SUSIYARTO</t>
  </si>
  <si>
    <t>KHALIS</t>
  </si>
  <si>
    <t>MUDI SANTOSO</t>
  </si>
  <si>
    <t>ANANG SETIYAWAN</t>
  </si>
  <si>
    <t>RUDI MEI SUSENO</t>
  </si>
  <si>
    <t>IRGAN CHOIRUL MAHFIT</t>
  </si>
  <si>
    <t>LUTFI KHARIS</t>
  </si>
  <si>
    <t>YANGKI FAINAL</t>
  </si>
  <si>
    <t>FITRI ASTUTIK</t>
  </si>
  <si>
    <t>MARINI MARDHIANA</t>
  </si>
  <si>
    <t>ANNAS MUSTAQIM</t>
  </si>
  <si>
    <t>NUGROHO ADI SETIAWAN</t>
  </si>
  <si>
    <t>ROKIM SETIYADI</t>
  </si>
  <si>
    <t>ELENA NOVI ARTANIA</t>
  </si>
  <si>
    <t>NOGIX PRASTIKASARI</t>
  </si>
  <si>
    <t>SRI HANDAYANI</t>
  </si>
  <si>
    <t>APRIYANI</t>
  </si>
  <si>
    <t>PANGGIH RAHAYU SLAMET</t>
  </si>
  <si>
    <t>KUSRIYATI</t>
  </si>
  <si>
    <t>DEWI RAHMAWATI</t>
  </si>
  <si>
    <t>TOYIBAH</t>
  </si>
  <si>
    <t>SITI MUAWANAH</t>
  </si>
  <si>
    <t>SITI NGATMIYATUN</t>
  </si>
  <si>
    <t>SARINEM</t>
  </si>
  <si>
    <t>RUSMIYATI (1)</t>
  </si>
  <si>
    <t>SITI DARYANI</t>
  </si>
  <si>
    <t>NUR SALAMAH</t>
  </si>
  <si>
    <t>SUHARTINI</t>
  </si>
  <si>
    <t>SUYAHMI</t>
  </si>
  <si>
    <t>ALFIYAH</t>
  </si>
  <si>
    <t>ROHMIYATUN</t>
  </si>
  <si>
    <t>SUWARTI</t>
  </si>
  <si>
    <t>RIFANI</t>
  </si>
  <si>
    <t>HERLIN NOVITA</t>
  </si>
  <si>
    <t>VIKA AYU WERDANI</t>
  </si>
  <si>
    <t>TRIYANTO</t>
  </si>
  <si>
    <t>TITIS HERAWATI</t>
  </si>
  <si>
    <t>RINA ANJASARI</t>
  </si>
  <si>
    <t>ISWATI</t>
  </si>
  <si>
    <t>LULUK MASRUROH</t>
  </si>
  <si>
    <t>NUNIK LUVIYANTI</t>
  </si>
  <si>
    <t>ISTIQOMAH</t>
  </si>
  <si>
    <t>RANI DAHLIYA</t>
  </si>
  <si>
    <t>EDY SURYANTO</t>
  </si>
  <si>
    <t>HERMAYANTI</t>
  </si>
  <si>
    <t>TRI TEGUH PAMBUDI</t>
  </si>
  <si>
    <t>VICKY FAJAR SUPRIYANI</t>
  </si>
  <si>
    <t>DWI ASTUTI</t>
  </si>
  <si>
    <t>JUMADI</t>
  </si>
  <si>
    <t>IDA WINARTI</t>
  </si>
  <si>
    <t>Wiji Triasih</t>
  </si>
  <si>
    <t>Susiati</t>
  </si>
  <si>
    <t>Setya Andhika</t>
  </si>
  <si>
    <t>Faizal Eka Prabowo</t>
  </si>
  <si>
    <t>ARIF ARDIANTO</t>
  </si>
  <si>
    <t>Jiwo Raihan Insyafani</t>
  </si>
  <si>
    <t>Ririn Haryanti</t>
  </si>
  <si>
    <t>Novianto</t>
  </si>
  <si>
    <t>Hendy Setyo Wibowo</t>
  </si>
  <si>
    <t>Jamiatul Yatimah</t>
  </si>
  <si>
    <t>Afrida Riski dewi</t>
  </si>
  <si>
    <t>Yuliani Pawitiningsih</t>
  </si>
  <si>
    <t>Robbiatul Adawiyah</t>
  </si>
  <si>
    <t>Alifatun Mussrofah</t>
  </si>
  <si>
    <t>FENIKA</t>
  </si>
  <si>
    <t>NOR INAYAH</t>
  </si>
  <si>
    <t>DWI SETIYANI</t>
  </si>
  <si>
    <t>BOMBONG ARYASA PUTRAWAN</t>
  </si>
  <si>
    <t>FEBRI SASONGKO JATI</t>
  </si>
  <si>
    <t>MIFTHAKUL DANNISA</t>
  </si>
  <si>
    <t>SITI KHOIRIYATUN</t>
  </si>
  <si>
    <t>Lutfi Khamidatul Khoiriyah</t>
  </si>
  <si>
    <t>SITI ZULAIKAH</t>
  </si>
  <si>
    <t>IKA LINAWATI</t>
  </si>
  <si>
    <t>Siswoyo Hadi Prayitno</t>
  </si>
  <si>
    <t>Firda Atmarista</t>
  </si>
  <si>
    <t>Aditya Renda Afianto</t>
  </si>
  <si>
    <t>Fatimah</t>
  </si>
  <si>
    <t>Nina</t>
  </si>
  <si>
    <t>ANLENDET SUSANTO</t>
  </si>
  <si>
    <t>SHINTYA RISTA MULYANI</t>
  </si>
  <si>
    <t>VIONA ADETIYA PUTRI R</t>
  </si>
  <si>
    <t>NUR TAUFIK</t>
  </si>
  <si>
    <t>SUYATI</t>
  </si>
  <si>
    <t>ANTONIO PUTRA SETIAWAN</t>
  </si>
  <si>
    <t>SANDY PRASTYO</t>
  </si>
  <si>
    <t>CHANDRA DWI SETIAWAN</t>
  </si>
  <si>
    <t>YUSEP DWI ANTORO</t>
  </si>
  <si>
    <t>SUTIKAH</t>
  </si>
  <si>
    <t>MAYA ASTRIYANINGSIH</t>
  </si>
  <si>
    <t>WAHYU WULANDARI</t>
  </si>
  <si>
    <t>ABDIEL YAKUB ARISTO</t>
  </si>
  <si>
    <t>TATAN SUBAGJA</t>
  </si>
  <si>
    <t>Bagas Restu Singgih</t>
  </si>
  <si>
    <t>Anjas Putra Pamungkas</t>
  </si>
  <si>
    <t>Miftahudin Wahid</t>
  </si>
  <si>
    <t>Aulia Okvita Sari</t>
  </si>
  <si>
    <t>Akhmad Mujibul Ikhsan</t>
  </si>
  <si>
    <t>Arina Maqhfiroh</t>
  </si>
  <si>
    <t>Binasti Manda Widya Yuliana</t>
  </si>
  <si>
    <t>Desti Setyaningsih</t>
  </si>
  <si>
    <t>Ida Nuryanti</t>
  </si>
  <si>
    <t>Fitri Wulandari</t>
  </si>
  <si>
    <t>Arjuna Wahyu Wisnu Ardhi</t>
  </si>
  <si>
    <t>Yunita</t>
  </si>
  <si>
    <t>Alfiana Novitasari</t>
  </si>
  <si>
    <t>Mari Puji Lestari</t>
  </si>
  <si>
    <t>Fika Irayani</t>
  </si>
  <si>
    <t>Istianingsih</t>
  </si>
  <si>
    <t>EGIN SURYANA</t>
  </si>
  <si>
    <t xml:space="preserve">433701006745530 </t>
  </si>
  <si>
    <t>BRI</t>
  </si>
  <si>
    <t>UNIT MARIUK</t>
  </si>
  <si>
    <t>WAWAN SETIAWAN</t>
  </si>
  <si>
    <t>4363700718</t>
  </si>
  <si>
    <t>ARIFUL MUTAKIN</t>
  </si>
  <si>
    <t>2221096209</t>
  </si>
  <si>
    <t>BCA</t>
  </si>
  <si>
    <t>UNGARAN</t>
  </si>
  <si>
    <t>PUJI SUPRICHATI</t>
  </si>
  <si>
    <t>610101018175530</t>
  </si>
  <si>
    <t>DWI NOFITASARI</t>
  </si>
  <si>
    <t>2221073845</t>
  </si>
  <si>
    <t>TRI RAHMANI</t>
  </si>
  <si>
    <t>609401034939531</t>
  </si>
  <si>
    <t>BERGAS</t>
  </si>
  <si>
    <t>BAGAS AGIL CAHYONO</t>
  </si>
  <si>
    <t>4443712601</t>
  </si>
  <si>
    <t>FAIDATUN ULFA</t>
  </si>
  <si>
    <t>TRI SUMARTININGSIH</t>
  </si>
  <si>
    <t>PUTRI SINDORO</t>
  </si>
  <si>
    <t>ROI KUSUMAWATI</t>
  </si>
  <si>
    <t>DEVIANA PUTRI RAHAYU</t>
  </si>
  <si>
    <t>DHIMAS BAYU NUGROHO</t>
  </si>
  <si>
    <t>RIO ADI CANDRA</t>
  </si>
  <si>
    <t>ISWANTO</t>
  </si>
  <si>
    <t>DEDY MAHARDIKA SATRIA</t>
  </si>
  <si>
    <t>AYUB SEPTIADI PUTRA</t>
  </si>
  <si>
    <t>ADITYA DWI CHANDRA</t>
  </si>
  <si>
    <t>AJENG AGUSTIN</t>
  </si>
  <si>
    <t>RUSMIYATI</t>
  </si>
  <si>
    <t>ARISKA NOVIYANTI</t>
  </si>
  <si>
    <t>SINTA ADIYATI</t>
  </si>
  <si>
    <t>IQBAL AL ARIEF</t>
  </si>
  <si>
    <t>CICI SRIYANTI</t>
  </si>
  <si>
    <t>RIYAS SEDARIYATI</t>
  </si>
  <si>
    <t>DWI RATIH INDRIYANI</t>
  </si>
  <si>
    <t>SUSI WINARSIH</t>
  </si>
  <si>
    <t>AGUS SAIT</t>
  </si>
  <si>
    <t>TRI YUANA</t>
  </si>
  <si>
    <t>MUHAMAD MAFATIHUL FALAH</t>
  </si>
  <si>
    <t>YOGA EKO PRIYANTOSO</t>
  </si>
  <si>
    <t>RANI DWI ASTUTI</t>
  </si>
  <si>
    <t>Michael Joshua Eka Putra</t>
  </si>
  <si>
    <t>RIO ALDI PAMUNGKAS</t>
  </si>
  <si>
    <t>7323251081</t>
  </si>
  <si>
    <t>DAVID D SUPRIATINA</t>
  </si>
  <si>
    <t>4443713268</t>
  </si>
  <si>
    <t>WAKHID</t>
  </si>
  <si>
    <t>4443713276</t>
  </si>
  <si>
    <t>MUSTHAFA ARIF ALMANFALUTHI</t>
  </si>
  <si>
    <t>4443713160</t>
  </si>
  <si>
    <t>ENDY PURNOMO</t>
  </si>
  <si>
    <t>4443713187</t>
  </si>
  <si>
    <t>YENI AFIANI</t>
  </si>
  <si>
    <t>4443713152</t>
  </si>
  <si>
    <t>DESIANA FITRIANI</t>
  </si>
  <si>
    <t>4443713144</t>
  </si>
  <si>
    <t>TANAYA DENY PAMUNGKAS</t>
  </si>
  <si>
    <t>4443713136</t>
  </si>
  <si>
    <t>TOMI SURYA PANGESTU</t>
  </si>
  <si>
    <t>4443713217</t>
  </si>
  <si>
    <t>PURI HANDAYANI</t>
  </si>
  <si>
    <t>4443713179</t>
  </si>
  <si>
    <t>ANJIS BUDI SETIAWAN</t>
  </si>
  <si>
    <t>4443713241</t>
  </si>
  <si>
    <t>NOPI YUNITA</t>
  </si>
  <si>
    <t>4443713233</t>
  </si>
  <si>
    <t>ANGGA KUSUMA</t>
  </si>
  <si>
    <t>4443713225</t>
  </si>
  <si>
    <t>HENI WIDIYANTI</t>
  </si>
  <si>
    <t>4443713195</t>
  </si>
  <si>
    <t>NANA ENDRAYANI</t>
  </si>
  <si>
    <t>4443714396</t>
  </si>
  <si>
    <t>MAYA MUSLIMATUN</t>
  </si>
  <si>
    <t>4443714329</t>
  </si>
  <si>
    <t>MOCHAKMMAD KHOERUL ARIFIN</t>
  </si>
  <si>
    <t>4443713942</t>
  </si>
  <si>
    <t>LAELA RISKI OKTAVIANI</t>
  </si>
  <si>
    <t>4443714019</t>
  </si>
  <si>
    <t>AFRILLLA KUSUMA ADE PRATAAMA</t>
  </si>
  <si>
    <t>4443714256</t>
  </si>
  <si>
    <t>LINA TUL QORIAH</t>
  </si>
  <si>
    <t>4443714450</t>
  </si>
  <si>
    <t>SITI ROFIAH</t>
  </si>
  <si>
    <t>4443714264</t>
  </si>
  <si>
    <t>AMBAR SETIANI</t>
  </si>
  <si>
    <t>4443713993</t>
  </si>
  <si>
    <t>GIFTY NOVITA HAPSARI</t>
  </si>
  <si>
    <t>4443704943</t>
  </si>
  <si>
    <t>DIAN SAFITRI</t>
  </si>
  <si>
    <t>4443714043</t>
  </si>
  <si>
    <t>SALMA GINA NAILA BRILIAN</t>
  </si>
  <si>
    <t>4443714280</t>
  </si>
  <si>
    <t>ONG KRISTIN</t>
  </si>
  <si>
    <t>4443714035</t>
  </si>
  <si>
    <t>AFRA DEWI SINTANI</t>
  </si>
  <si>
    <t>4443714078</t>
  </si>
  <si>
    <t>NUNUNG ALFIAH</t>
  </si>
  <si>
    <t>4443714299</t>
  </si>
  <si>
    <t>MIFTAHUL HAYAT</t>
  </si>
  <si>
    <t>4443713977</t>
  </si>
  <si>
    <t>AYU SHOFIA HANIFA</t>
  </si>
  <si>
    <t>4443714493</t>
  </si>
  <si>
    <t>TIA ANSI ARIANI</t>
  </si>
  <si>
    <t>4443714108</t>
  </si>
  <si>
    <t>NOVI BUDIARTI</t>
  </si>
  <si>
    <t>4443714272</t>
  </si>
  <si>
    <t>UMI SRI LESTARI</t>
  </si>
  <si>
    <t>4443714086</t>
  </si>
  <si>
    <t>ARIF ADI SAPUTRA</t>
  </si>
  <si>
    <t>4443714353</t>
  </si>
  <si>
    <t>TITIEK FITRIA</t>
  </si>
  <si>
    <t>4443714507</t>
  </si>
  <si>
    <t>TRI BAROKAH</t>
  </si>
  <si>
    <t>4443713918</t>
  </si>
  <si>
    <t>GAGAH WIDIYATO</t>
  </si>
  <si>
    <t>4443713896</t>
  </si>
  <si>
    <t>MUHYIDIN</t>
  </si>
  <si>
    <t>4443714191</t>
  </si>
  <si>
    <t>ACHIUL VANESI AGUSTIVAN SAPUTRI</t>
  </si>
  <si>
    <t>4443714159</t>
  </si>
  <si>
    <t>NANA SRI MULYANI</t>
  </si>
  <si>
    <t>4443714426</t>
  </si>
  <si>
    <t>PRENCI PINALDI</t>
  </si>
  <si>
    <t>4443713934</t>
  </si>
  <si>
    <t>SRI LESTARI</t>
  </si>
  <si>
    <t>4443714175</t>
  </si>
  <si>
    <t>WAHYU HIMAWAN</t>
  </si>
  <si>
    <t>4443713985</t>
  </si>
  <si>
    <t>ALVIANI INDAH SARI</t>
  </si>
  <si>
    <t>5203705205</t>
  </si>
  <si>
    <t>SULASMI</t>
  </si>
  <si>
    <t>4443714248</t>
  </si>
  <si>
    <t>CLIVIA AULIA RAHMA DANNY</t>
  </si>
  <si>
    <t>4443713888</t>
  </si>
  <si>
    <t>ROSIYANA</t>
  </si>
  <si>
    <t>4443714027</t>
  </si>
  <si>
    <t>MARDLIYAH</t>
  </si>
  <si>
    <t>4443714183</t>
  </si>
  <si>
    <t>MUYASAROH</t>
  </si>
  <si>
    <t>4443714051</t>
  </si>
  <si>
    <t>JESSICA ELFALIANDA SEPTHEN</t>
  </si>
  <si>
    <t>4443714310</t>
  </si>
  <si>
    <t>DENNY AJI PERMANA</t>
  </si>
  <si>
    <t>4443713950</t>
  </si>
  <si>
    <t>CHUROTUL A'AYUN</t>
  </si>
  <si>
    <t>4443714434</t>
  </si>
  <si>
    <t>INDAH MUTIARA SYIFA</t>
  </si>
  <si>
    <t>4443714302</t>
  </si>
  <si>
    <t>NISA MULYATI</t>
  </si>
  <si>
    <t>4443713926</t>
  </si>
  <si>
    <t>DWI NURVITA SARI</t>
  </si>
  <si>
    <t>4443714221</t>
  </si>
  <si>
    <t>KHOIRUNNISHA ARINI OVI</t>
  </si>
  <si>
    <t>4443714213</t>
  </si>
  <si>
    <t>NUR LAILA</t>
  </si>
  <si>
    <t>609801000382522</t>
  </si>
  <si>
    <t>PRINGAPUS</t>
  </si>
  <si>
    <t>YENI DWI SAPUTRI</t>
  </si>
  <si>
    <t>4443714477</t>
  </si>
  <si>
    <t>AHMAD HUSAINI</t>
  </si>
  <si>
    <t>051301026206504</t>
  </si>
  <si>
    <t>AMBARAWA</t>
  </si>
  <si>
    <t>MUHAMMAD ILHAM ALKHAFID</t>
  </si>
  <si>
    <t>4443714337</t>
  </si>
  <si>
    <t>SITI NUR FAUZIAH</t>
  </si>
  <si>
    <t>4443714345</t>
  </si>
  <si>
    <t>HARYATI</t>
  </si>
  <si>
    <t>4441010677</t>
  </si>
  <si>
    <t>INDAH KAFITA SARI</t>
  </si>
  <si>
    <t>4443704218</t>
  </si>
  <si>
    <t>MILLATUSSAFIATUL ITAMI</t>
  </si>
  <si>
    <t>4443714388</t>
  </si>
  <si>
    <t>Mara Sari</t>
  </si>
  <si>
    <t>4443714833</t>
  </si>
  <si>
    <t>Ririn Nurani</t>
  </si>
  <si>
    <t>4443714760</t>
  </si>
  <si>
    <t>Herni Winasari</t>
  </si>
  <si>
    <t>4443714795</t>
  </si>
  <si>
    <t>Tias Cinta Artiani</t>
  </si>
  <si>
    <t>4443714809</t>
  </si>
  <si>
    <t>Sri Iswari</t>
  </si>
  <si>
    <t>4443714582</t>
  </si>
  <si>
    <t>Siti Yuliani</t>
  </si>
  <si>
    <t>4443714698</t>
  </si>
  <si>
    <t>Fitri Isdiwati</t>
  </si>
  <si>
    <t>4443714574</t>
  </si>
  <si>
    <t>Esty Nur Hartaty HT</t>
  </si>
  <si>
    <t>4443714701</t>
  </si>
  <si>
    <t>DIMAS HARYA ADITIYA</t>
  </si>
  <si>
    <t>4443713209</t>
  </si>
  <si>
    <t>Dwi Rahmawati</t>
  </si>
  <si>
    <t>4443702754</t>
  </si>
  <si>
    <t>Cicik Elisawati</t>
  </si>
  <si>
    <t>4443713446</t>
  </si>
  <si>
    <t>Rini Wahyuni</t>
  </si>
  <si>
    <t>4443713454</t>
  </si>
  <si>
    <t>Sutri Mujiati</t>
  </si>
  <si>
    <t>4443713381</t>
  </si>
  <si>
    <t>Djibran Fadholi Pratama</t>
  </si>
  <si>
    <t>4443713403</t>
  </si>
  <si>
    <t>Nur Hidayat Fadhila</t>
  </si>
  <si>
    <t>4443713527</t>
  </si>
  <si>
    <t>Bunga Indah Sari</t>
  </si>
  <si>
    <t>4443713470</t>
  </si>
  <si>
    <t>Tri Widodo</t>
  </si>
  <si>
    <t>4443713438</t>
  </si>
  <si>
    <t>Arif Bimantara</t>
  </si>
  <si>
    <t>4443713500</t>
  </si>
  <si>
    <t>Agus Supriyanto</t>
  </si>
  <si>
    <t>4443713519</t>
  </si>
  <si>
    <t>Titis Ulya Dara Zahra</t>
  </si>
  <si>
    <t>4443713551</t>
  </si>
  <si>
    <t>Laili Lutfiyah</t>
  </si>
  <si>
    <t>4443713543</t>
  </si>
  <si>
    <t>Lilik Triyanto</t>
  </si>
  <si>
    <t>4443713632</t>
  </si>
  <si>
    <t>Rico Wibowo</t>
  </si>
  <si>
    <t>4443713640</t>
  </si>
  <si>
    <t>Nonik Prasetyoningsih</t>
  </si>
  <si>
    <t>4443712598</t>
  </si>
  <si>
    <t>Amru Ega Prasaja</t>
  </si>
  <si>
    <t>4443713357</t>
  </si>
  <si>
    <t>Hariyani Puji Astuti</t>
  </si>
  <si>
    <t>4443713373</t>
  </si>
  <si>
    <t>Fajar Siddiq</t>
  </si>
  <si>
    <t>4443704730</t>
  </si>
  <si>
    <t>Ruslan Listianto</t>
  </si>
  <si>
    <t>4443706385</t>
  </si>
  <si>
    <t>SLAMET ISNANTI</t>
  </si>
  <si>
    <t xml:space="preserve"> 4443713659</t>
  </si>
  <si>
    <t>ZIMMA OLLIGA MUKTI YUSWAN DANI</t>
  </si>
  <si>
    <t>4443713667</t>
  </si>
  <si>
    <t>AKBAR SATRIO PAMUNGKAS</t>
  </si>
  <si>
    <t>4443713691</t>
  </si>
  <si>
    <t>ISTIQOMAH (2)</t>
  </si>
  <si>
    <t>4443714779</t>
  </si>
  <si>
    <t>VERNI PURNIA SULISTYORINI</t>
  </si>
  <si>
    <t>DIYAH WINARNI</t>
  </si>
  <si>
    <t>Riyanti</t>
  </si>
  <si>
    <t>4443714744</t>
  </si>
  <si>
    <t>WAGIYANTI</t>
  </si>
  <si>
    <t>4443715430</t>
  </si>
  <si>
    <t>4443715406</t>
  </si>
  <si>
    <t>NUGROHO WATI</t>
  </si>
  <si>
    <t>4443715414</t>
  </si>
  <si>
    <t>ELIS CAHYATI</t>
  </si>
  <si>
    <t>4443715376</t>
  </si>
  <si>
    <t>TRI PURNANINGSIH</t>
  </si>
  <si>
    <t>4443715422</t>
  </si>
  <si>
    <t>YENNY VIDAYANTI</t>
  </si>
  <si>
    <t>4443715465</t>
  </si>
  <si>
    <t>MARDLIYAH (1)</t>
  </si>
  <si>
    <t>FAHRULIYAN</t>
  </si>
  <si>
    <t>4443715538</t>
  </si>
  <si>
    <t>KEVIN WARDANA SAPUTRA</t>
  </si>
  <si>
    <t>4443715635</t>
  </si>
  <si>
    <t>BAGAS NUR RAMADHANI</t>
  </si>
  <si>
    <t>4443715546</t>
  </si>
  <si>
    <t>BAGAS TOMY SAPUTRO</t>
  </si>
  <si>
    <t>4443715643</t>
  </si>
  <si>
    <t>ARISKA DEWA SUSENO PUTRA</t>
  </si>
  <si>
    <t>4443715651</t>
  </si>
  <si>
    <t>ARIF WAHYU SAPUTRA</t>
  </si>
  <si>
    <t>4443715678</t>
  </si>
  <si>
    <t>YUDIHATMOKO</t>
  </si>
  <si>
    <t>4443715511</t>
  </si>
  <si>
    <t>HARDIKA</t>
  </si>
  <si>
    <t>4443715686</t>
  </si>
  <si>
    <t>HEFI WULANSARI</t>
  </si>
  <si>
    <t>4443715694</t>
  </si>
  <si>
    <t>GUNI</t>
  </si>
  <si>
    <t>4443715570</t>
  </si>
  <si>
    <t>WINDY NOVITASARI</t>
  </si>
  <si>
    <t>4443715708</t>
  </si>
  <si>
    <t>IRA PRATIWI</t>
  </si>
  <si>
    <t>4443715880</t>
  </si>
  <si>
    <t>AHMAD ROFIH</t>
  </si>
  <si>
    <t>4443715716</t>
  </si>
  <si>
    <t>NUR IKHSAN PRASETYO</t>
  </si>
  <si>
    <t>4443715589</t>
  </si>
  <si>
    <t>SUPRIYADI</t>
  </si>
  <si>
    <t>4443715724</t>
  </si>
  <si>
    <t>DANANG HARIYANTO</t>
  </si>
  <si>
    <t>4443715732</t>
  </si>
  <si>
    <t>ALZENA HAFIZH AHNAF</t>
  </si>
  <si>
    <t>4443715740</t>
  </si>
  <si>
    <t>ICHA CHEYSA PUTRI PRATIWI</t>
  </si>
  <si>
    <t>4443715759</t>
  </si>
  <si>
    <t>PUJI LESTARI</t>
  </si>
  <si>
    <t>4443715767</t>
  </si>
  <si>
    <t>ERWAN BONEY MORALES</t>
  </si>
  <si>
    <t>4443715597</t>
  </si>
  <si>
    <t>SURYANI</t>
  </si>
  <si>
    <t>4443715775</t>
  </si>
  <si>
    <t>RIFA APRILIANA</t>
  </si>
  <si>
    <t>4443715600</t>
  </si>
  <si>
    <t>ONGKI DIAN RENA SAPUTRA</t>
  </si>
  <si>
    <t>4443715783</t>
  </si>
  <si>
    <t>ERLINA NURMAYANTI</t>
  </si>
  <si>
    <t>4443715619</t>
  </si>
  <si>
    <t>RIENA NURKY ALPHIANA</t>
  </si>
  <si>
    <t>4443715791</t>
  </si>
  <si>
    <t>WILDA ANNISA ROBIYANA</t>
  </si>
  <si>
    <t>4443715805</t>
  </si>
  <si>
    <t>INDAH NUR SAFARINA</t>
  </si>
  <si>
    <t>4443715627</t>
  </si>
  <si>
    <t>AMARA NADIA OCTAVIOLA</t>
  </si>
  <si>
    <t>4443715813</t>
  </si>
  <si>
    <t>RINE DEWI PARWATI</t>
  </si>
  <si>
    <t>4443715848</t>
  </si>
  <si>
    <t>HASTIAN KHOTIMAH</t>
  </si>
  <si>
    <t>4443715856</t>
  </si>
  <si>
    <t>KURNIA ANGGI ARDANA</t>
  </si>
  <si>
    <t>4443715864</t>
  </si>
  <si>
    <t>BENI SUKARMAN</t>
  </si>
  <si>
    <t>4443715872</t>
  </si>
  <si>
    <t>ANGGA RIDWAN</t>
  </si>
  <si>
    <t>4443715945</t>
  </si>
  <si>
    <t>DIMAS NUR ANGGRAIWAN</t>
  </si>
  <si>
    <t>4443716097</t>
  </si>
  <si>
    <t>TAUFIK NUR MUHAMMAD</t>
  </si>
  <si>
    <t>4443716100</t>
  </si>
  <si>
    <t>DESTINA DAMAYANTI</t>
  </si>
  <si>
    <t>4443715562</t>
  </si>
  <si>
    <t>IKA DENY MALIKA</t>
  </si>
  <si>
    <t>4443715953</t>
  </si>
  <si>
    <t>AKBAR DWI PRASETYAWAN</t>
  </si>
  <si>
    <t>4443716089</t>
  </si>
  <si>
    <t>NURUL LUDFIANA</t>
  </si>
  <si>
    <t>IHDHINA KHARISMAYA'ARIFANI</t>
  </si>
  <si>
    <t>ANDIKA DIMAS WAHYU PRATAMA</t>
  </si>
  <si>
    <t>NINA HANDAYANI</t>
  </si>
  <si>
    <t>YUYUN WIRANTI</t>
  </si>
  <si>
    <t>AKMAL GANA MUTTAQIN</t>
  </si>
  <si>
    <t>PUTRA BIRU</t>
  </si>
  <si>
    <t>SARA MAHARANI</t>
  </si>
  <si>
    <t>NGATIMININGSIH</t>
  </si>
  <si>
    <t>MUHAMMAD HAFIZ NUR HASIM</t>
  </si>
  <si>
    <t>4443715899</t>
  </si>
  <si>
    <t>ANDINI PRAMITA</t>
  </si>
  <si>
    <t>4443715902</t>
  </si>
  <si>
    <t>YUSRIL ALWI BUCHORI</t>
  </si>
  <si>
    <t>4443715910</t>
  </si>
  <si>
    <t>DONI SUGI FEBRIANTO</t>
  </si>
  <si>
    <t>4443716046</t>
  </si>
  <si>
    <t>ANDI NUGROHO</t>
  </si>
  <si>
    <t>4443715929</t>
  </si>
  <si>
    <t>RIZKY BAGUS HENDRAWAN</t>
  </si>
  <si>
    <t>4443716054</t>
  </si>
  <si>
    <t>ABDUL JABBAR IRFANI</t>
  </si>
  <si>
    <t>4443715937</t>
  </si>
  <si>
    <t>WAGIYEM</t>
  </si>
  <si>
    <t>4443716127</t>
  </si>
  <si>
    <t>IMA FEBRIYANTI</t>
  </si>
  <si>
    <t>4443715996</t>
  </si>
  <si>
    <t>FATKUN NASRULLAH</t>
  </si>
  <si>
    <t>4443716003</t>
  </si>
  <si>
    <t>SIGIT NUR FANDI</t>
  </si>
  <si>
    <t>4443716038</t>
  </si>
  <si>
    <t>ERMA UMI NURHIKMAH</t>
  </si>
  <si>
    <t>4443715961</t>
  </si>
  <si>
    <t>ALGA PUTRA PUNKYAWAN</t>
  </si>
  <si>
    <t>4443716232</t>
  </si>
  <si>
    <t>RIO ANDRE LIM</t>
  </si>
  <si>
    <t>MUCH AUFA FAHMI AZKA</t>
  </si>
  <si>
    <t>NUR HIDAYAH</t>
  </si>
  <si>
    <t>4443716011</t>
  </si>
  <si>
    <t>ERNI MARETNOWATI</t>
  </si>
  <si>
    <t>4443715503</t>
  </si>
  <si>
    <t>ANI WITDARI</t>
  </si>
  <si>
    <t>4443715473</t>
  </si>
  <si>
    <t>KARIDA KESUMA DILATRI</t>
  </si>
  <si>
    <t>4443716410</t>
  </si>
  <si>
    <t>MARETA RINDI ARDANA</t>
  </si>
  <si>
    <t>4443716445</t>
  </si>
  <si>
    <t>Mia agustin</t>
  </si>
  <si>
    <t>4443716321</t>
  </si>
  <si>
    <t>Diana selvi ariani</t>
  </si>
  <si>
    <t>4443716348</t>
  </si>
  <si>
    <t>Novi istiani</t>
  </si>
  <si>
    <t>NOVI ISTIANI</t>
  </si>
  <si>
    <t>DIAN SULISTYO</t>
  </si>
  <si>
    <t>SAMPLE</t>
  </si>
  <si>
    <t>DESIGN</t>
  </si>
  <si>
    <t>ADM</t>
  </si>
  <si>
    <t>MANDOR SCREEN</t>
  </si>
  <si>
    <t>TINTA</t>
  </si>
  <si>
    <t>MANDOR SHIFT</t>
  </si>
  <si>
    <t>LAB</t>
  </si>
  <si>
    <t>SECURITY</t>
  </si>
  <si>
    <t>ADM HRD</t>
  </si>
  <si>
    <t>IN-OUT</t>
  </si>
  <si>
    <t>QC PRINT</t>
  </si>
  <si>
    <t>GUDANG</t>
  </si>
  <si>
    <t>OPERATOR CETAK</t>
  </si>
  <si>
    <t>PRESS</t>
  </si>
  <si>
    <t>UMUM</t>
  </si>
  <si>
    <t xml:space="preserve">TRI MARYANTI </t>
  </si>
  <si>
    <t>TRI HARYANI</t>
  </si>
  <si>
    <t>4443716151</t>
  </si>
  <si>
    <t>136601005965505</t>
  </si>
  <si>
    <t>KARANGJATI</t>
  </si>
  <si>
    <t>4443719487</t>
  </si>
  <si>
    <t>ROSIN SUYONO</t>
  </si>
  <si>
    <t>4443719037</t>
  </si>
  <si>
    <t>AIDI MANGDUR</t>
  </si>
  <si>
    <t>4443719096</t>
  </si>
  <si>
    <t>NAELA NUR NIKMA</t>
  </si>
  <si>
    <t>4443719088</t>
  </si>
  <si>
    <t>MUHAMAD CHOIRUL ANAM</t>
  </si>
  <si>
    <t>4443719061</t>
  </si>
  <si>
    <t>DIKA RESTU ANIFAH</t>
  </si>
  <si>
    <t>4443719045</t>
  </si>
  <si>
    <t>ROCHMAT RAMADHAN</t>
  </si>
  <si>
    <t>4443719053</t>
  </si>
  <si>
    <t>YEHUDHA ARGANATA</t>
  </si>
  <si>
    <t>4443719150</t>
  </si>
  <si>
    <t>LILIS PUJIYANTI</t>
  </si>
  <si>
    <t>4443719126</t>
  </si>
  <si>
    <t>SUMIAH</t>
  </si>
  <si>
    <t>4443719134</t>
  </si>
  <si>
    <t>DENY TRI ARSANTI</t>
  </si>
  <si>
    <t>4443719142</t>
  </si>
  <si>
    <t>BRIAN GIOVAN</t>
  </si>
  <si>
    <t>4443719118</t>
  </si>
  <si>
    <t>DITO BINTANG SAPUTRA</t>
  </si>
  <si>
    <t>609801032376539</t>
  </si>
  <si>
    <t>YUNITA SAFITRI</t>
  </si>
  <si>
    <t>4443720094</t>
  </si>
  <si>
    <t>NUR AKMALIA</t>
  </si>
  <si>
    <t>JOKO SUSILO</t>
  </si>
  <si>
    <t>4443720256</t>
  </si>
  <si>
    <t>DYAH PARTINI</t>
  </si>
  <si>
    <t>FOLLOW UP</t>
  </si>
  <si>
    <t>MUHAMMAD FAUZI MUSTAQIIM</t>
  </si>
  <si>
    <t>4443714094</t>
  </si>
  <si>
    <t>4443721074</t>
  </si>
  <si>
    <t>4443721066</t>
  </si>
  <si>
    <t>4443721082</t>
  </si>
  <si>
    <t>4443721090</t>
  </si>
  <si>
    <t>4443721112</t>
  </si>
  <si>
    <t>WAHYU CANDRA SETIYA</t>
  </si>
  <si>
    <t>4443728753</t>
  </si>
  <si>
    <t>FENI NURSIYAMI</t>
  </si>
  <si>
    <t>4443728737</t>
  </si>
  <si>
    <t>YUDHA IKE SANTIKA</t>
  </si>
  <si>
    <t>4443728745</t>
  </si>
  <si>
    <t>SOFYAN SYAHRONI</t>
  </si>
  <si>
    <t>4443728931</t>
  </si>
  <si>
    <t>KELVIN WAHYU EKO WIDODO</t>
  </si>
  <si>
    <t>1380023340123</t>
  </si>
  <si>
    <t>MANDIRI</t>
  </si>
  <si>
    <t>SEMARANG</t>
  </si>
  <si>
    <t>ASNA NUR AINI</t>
  </si>
  <si>
    <t>3200515349</t>
  </si>
  <si>
    <t>ILHAM WAHYU SYAHPUTRA</t>
  </si>
  <si>
    <t>1350019836046</t>
  </si>
  <si>
    <t>FITRI KURNIAWAN</t>
  </si>
  <si>
    <t>8545600061</t>
  </si>
  <si>
    <t>ABDUL RISALDI</t>
  </si>
  <si>
    <t>032701080922501</t>
  </si>
  <si>
    <t>DRIVER</t>
  </si>
  <si>
    <t>KURIR</t>
  </si>
  <si>
    <t>INSENTIF</t>
  </si>
  <si>
    <t>BERNADITA DAYANA MARANATA HAPSARI</t>
  </si>
  <si>
    <t>2220924206</t>
  </si>
  <si>
    <t>YOYOK PRASETIYO</t>
  </si>
  <si>
    <t>032701046421501</t>
  </si>
  <si>
    <t>OKTA RAMADHANI</t>
  </si>
  <si>
    <t>1360031438952</t>
  </si>
  <si>
    <t>MELLANIA DONA PERMATASARI</t>
  </si>
  <si>
    <t>1360032894302</t>
  </si>
  <si>
    <t>ANANG CAHYONO PUTRO</t>
  </si>
  <si>
    <t>4090714487</t>
  </si>
  <si>
    <t xml:space="preserve">BCA </t>
  </si>
  <si>
    <t>EDI SUSILO</t>
  </si>
  <si>
    <t>2221323965</t>
  </si>
  <si>
    <t>MINGGU</t>
  </si>
  <si>
    <t>BOYOLALI</t>
  </si>
  <si>
    <t>RIZKI MAULANA</t>
  </si>
  <si>
    <t>311101049946532</t>
  </si>
  <si>
    <t>EGY DHEA DELLA DENITA</t>
  </si>
  <si>
    <t>8038009285</t>
  </si>
  <si>
    <t>ROBERTUS IMANUEL ALFANDO</t>
  </si>
  <si>
    <t>604701032019536</t>
  </si>
  <si>
    <t>MUNAWAROH</t>
  </si>
  <si>
    <t>2220668722</t>
  </si>
  <si>
    <t>ZAINAL MUSTOFA</t>
  </si>
  <si>
    <t>2221358009</t>
  </si>
  <si>
    <t>RISKI ANDRE SETYAWAN</t>
  </si>
  <si>
    <t>608801001932505</t>
  </si>
  <si>
    <t>WILDA ULVIANA</t>
  </si>
  <si>
    <t>1808024788</t>
  </si>
  <si>
    <t>BNI</t>
  </si>
  <si>
    <t>FENY SUSANTI</t>
  </si>
  <si>
    <t>2220660446</t>
  </si>
  <si>
    <t>SEPTA ARYA WARDANA</t>
  </si>
  <si>
    <t>003631637000</t>
  </si>
  <si>
    <t>DANAMON</t>
  </si>
  <si>
    <t>ANGGI FREBIYANI</t>
  </si>
  <si>
    <t>2221302852</t>
  </si>
  <si>
    <t>DINA MUTMAINAH</t>
  </si>
  <si>
    <t>604801014963535</t>
  </si>
  <si>
    <t>DIKY KURNIAWAN</t>
  </si>
  <si>
    <t>1360032722669</t>
  </si>
  <si>
    <t>SETIA ROSI ARGANA</t>
  </si>
  <si>
    <t>2221387564</t>
  </si>
  <si>
    <t>MAHDARIO PRIVANA</t>
  </si>
  <si>
    <t>032701068759508</t>
  </si>
  <si>
    <t>HERU TEGAR KURNIAWAN</t>
  </si>
  <si>
    <t>609801034519531</t>
  </si>
  <si>
    <t>LEMBUR TEKNISI</t>
  </si>
  <si>
    <t>SABTU</t>
  </si>
  <si>
    <t>NO</t>
  </si>
  <si>
    <t>TOTAL UMUM</t>
  </si>
  <si>
    <t>TOTAL ALL IN</t>
  </si>
  <si>
    <t>TOTAL ALL</t>
  </si>
  <si>
    <t>PBLT</t>
  </si>
  <si>
    <t>MOHAMMAD NUR MUCHAROM</t>
  </si>
  <si>
    <t>AGUS GUNARDI</t>
  </si>
  <si>
    <t>RESUME GAJI BULAN JUNI 2026</t>
  </si>
  <si>
    <t>I. KARYAWAN BULANAN</t>
  </si>
  <si>
    <t>JML KARYAWAN</t>
  </si>
  <si>
    <t>25 MEI - 24 JUNI 2025</t>
  </si>
  <si>
    <t>TJ. MASA KERJA</t>
  </si>
  <si>
    <t>TUNJANGAN</t>
  </si>
  <si>
    <t>PREMI HADIR</t>
  </si>
  <si>
    <t>LEMBUR</t>
  </si>
  <si>
    <t>TOTAL + LEMBUR</t>
  </si>
  <si>
    <t>BPJS TENAGA KERJA</t>
  </si>
  <si>
    <t>BPJS KESEHATAN</t>
  </si>
  <si>
    <t>BPJS PENSIUN</t>
  </si>
  <si>
    <t>CASHBON</t>
  </si>
  <si>
    <t>PPH</t>
  </si>
  <si>
    <t>TOTAL TERIMA</t>
  </si>
  <si>
    <t>P</t>
  </si>
  <si>
    <t>GAJI</t>
  </si>
  <si>
    <t>B. BULANAN PRINT</t>
  </si>
  <si>
    <t>TUNJANGAN JABATAN</t>
  </si>
  <si>
    <t>SCREEN</t>
  </si>
  <si>
    <t>GUDANG PRINT</t>
  </si>
  <si>
    <t>PACKING</t>
  </si>
  <si>
    <t>QC LINE</t>
  </si>
  <si>
    <t>FINISHING</t>
  </si>
  <si>
    <t>OPERATOR TEMPEL</t>
  </si>
  <si>
    <t>AUTOPRINT</t>
  </si>
  <si>
    <t>SUBLIM</t>
  </si>
  <si>
    <t xml:space="preserve">TOTAL </t>
  </si>
  <si>
    <t>RESUME UANG MAKAN &amp; LEMBUR  JUNI 2026</t>
  </si>
  <si>
    <t>RESUME KOMPENSASI 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</si>
</sst>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#,##0.0;\(#,##0.0\)"/>
    <numFmt numFmtId="165" formatCode="_(* #,##0.00_);_(* \(#,##0.00\);_(* &quot;-&quot;?_);_(@_)"/>
  </numFmts>
  <fonts count="1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entury Schoolbook"/>
      <family val="1"/>
    </font>
    <font>
      <b/>
      <sz val="9"/>
      <name val="Century Schoolbook"/>
      <family val="1"/>
    </font>
    <font>
      <b/>
      <sz val="8"/>
      <name val="Century Schoolbook"/>
      <family val="1"/>
    </font>
    <font>
      <b/>
      <sz val="11"/>
      <color theme="1"/>
      <name val="Century Schoolbook"/>
      <family val="1"/>
    </font>
    <font>
      <sz val="11"/>
      <name val="Century Schoolbook"/>
      <family val="1"/>
    </font>
    <font>
      <sz val="10"/>
      <color theme="1"/>
      <name val="Century Schoolbook"/>
      <family val="1"/>
    </font>
    <font>
      <sz val="10"/>
      <name val="Century Schoolbook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entury Schoolbook"/>
      <family val="1"/>
    </font>
    <font>
      <sz val="11"/>
      <color theme="1"/>
      <name val="Century Schoolbook"/>
      <family val="1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1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rgb="FF000000"/>
      <name val="Arial"/>
      <family val="2"/>
    </font>
    <font>
      <sz val="10"/>
      <name val="Helv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20"/>
      <name val="Century Schoolbook"/>
      <family val="1"/>
    </font>
    <font>
      <sz val="10"/>
      <name val="Baskerville Old Face"/>
      <family val="1"/>
    </font>
    <font>
      <sz val="2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indexed="64"/>
      </bottom>
      <diagonal/>
    </border>
    <border>
      <left/>
      <right style="thin">
        <color rgb="FF000000"/>
      </right>
      <top style="double">
        <color rgb="FF000000"/>
      </top>
      <bottom style="thin">
        <color indexed="64"/>
      </bottom>
      <diagonal/>
    </border>
    <border>
      <left/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double">
        <color rgb="FF000000"/>
      </bottom>
      <diagonal/>
    </border>
    <border>
      <left/>
      <right style="thin">
        <color rgb="FF000000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/>
      <top style="double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40">
    <xf numFmtId="0" fontId="0" fillId="0" borderId="0"/>
    <xf numFmtId="0" fontId="1" fillId="0" borderId="0"/>
    <xf numFmtId="0" fontId="2" fillId="0" borderId="0"/>
    <xf numFmtId="0" fontId="2" fillId="0" borderId="0"/>
    <xf numFmtId="0" fontId="4" fillId="0" borderId="0"/>
    <xf numFmtId="41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4" fillId="0" borderId="0"/>
    <xf numFmtId="0" fontId="18" fillId="0" borderId="0"/>
    <xf numFmtId="0" fontId="19" fillId="0" borderId="0"/>
    <xf numFmtId="0" fontId="5" fillId="0" borderId="0"/>
    <xf numFmtId="0" fontId="24" fillId="0" borderId="0"/>
    <xf numFmtId="43" fontId="18" fillId="0" borderId="0" applyFont="0" applyFill="0" applyBorder="0" applyAlignment="0" applyProtection="0"/>
    <xf numFmtId="0" fontId="37" fillId="0" borderId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29" fillId="4" borderId="0" applyNumberFormat="0" applyBorder="0" applyAlignment="0" applyProtection="0"/>
    <xf numFmtId="0" fontId="32" fillId="7" borderId="21" applyNumberFormat="0" applyAlignment="0" applyProtection="0"/>
    <xf numFmtId="0" fontId="34" fillId="8" borderId="24" applyNumberFormat="0" applyAlignment="0" applyProtection="0"/>
    <xf numFmtId="43" fontId="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8" fillId="3" borderId="0" applyNumberFormat="0" applyBorder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7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30" fillId="6" borderId="21" applyNumberFormat="0" applyAlignment="0" applyProtection="0"/>
    <xf numFmtId="0" fontId="33" fillId="0" borderId="23" applyNumberFormat="0" applyFill="0" applyAlignment="0" applyProtection="0"/>
    <xf numFmtId="0" fontId="39" fillId="5" borderId="0" applyNumberFormat="0" applyBorder="0" applyAlignment="0" applyProtection="0"/>
    <xf numFmtId="0" fontId="1" fillId="0" borderId="0"/>
    <xf numFmtId="0" fontId="5" fillId="9" borderId="25" applyNumberFormat="0" applyFont="0" applyAlignment="0" applyProtection="0"/>
    <xf numFmtId="0" fontId="31" fillId="7" borderId="22" applyNumberFormat="0" applyAlignment="0" applyProtection="0"/>
    <xf numFmtId="0" fontId="38" fillId="0" borderId="0"/>
    <xf numFmtId="0" fontId="40" fillId="0" borderId="0" applyNumberFormat="0" applyFill="0" applyBorder="0" applyAlignment="0" applyProtection="0"/>
    <xf numFmtId="0" fontId="13" fillId="0" borderId="26" applyNumberFormat="0" applyFill="0" applyAlignment="0" applyProtection="0"/>
    <xf numFmtId="0" fontId="35" fillId="0" borderId="0" applyNumberFormat="0" applyFill="0" applyBorder="0" applyAlignment="0" applyProtection="0"/>
    <xf numFmtId="0" fontId="19" fillId="0" borderId="0"/>
    <xf numFmtId="0" fontId="37" fillId="0" borderId="0"/>
    <xf numFmtId="0" fontId="18" fillId="0" borderId="0"/>
    <xf numFmtId="43" fontId="18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29" fillId="4" borderId="0" applyNumberFormat="0" applyBorder="0" applyAlignment="0" applyProtection="0"/>
    <xf numFmtId="0" fontId="32" fillId="7" borderId="21" applyNumberFormat="0" applyAlignment="0" applyProtection="0"/>
    <xf numFmtId="0" fontId="34" fillId="8" borderId="24" applyNumberFormat="0" applyAlignment="0" applyProtection="0"/>
    <xf numFmtId="43" fontId="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8" fillId="3" borderId="0" applyNumberFormat="0" applyBorder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7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30" fillId="6" borderId="21" applyNumberFormat="0" applyAlignment="0" applyProtection="0"/>
    <xf numFmtId="0" fontId="33" fillId="0" borderId="23" applyNumberFormat="0" applyFill="0" applyAlignment="0" applyProtection="0"/>
    <xf numFmtId="0" fontId="39" fillId="5" borderId="0" applyNumberFormat="0" applyBorder="0" applyAlignment="0" applyProtection="0"/>
    <xf numFmtId="0" fontId="1" fillId="0" borderId="0"/>
    <xf numFmtId="0" fontId="5" fillId="9" borderId="25" applyNumberFormat="0" applyFont="0" applyAlignment="0" applyProtection="0"/>
    <xf numFmtId="0" fontId="31" fillId="7" borderId="22" applyNumberFormat="0" applyAlignment="0" applyProtection="0"/>
    <xf numFmtId="0" fontId="40" fillId="0" borderId="0" applyNumberFormat="0" applyFill="0" applyBorder="0" applyAlignment="0" applyProtection="0"/>
    <xf numFmtId="0" fontId="13" fillId="0" borderId="26" applyNumberFormat="0" applyFill="0" applyAlignment="0" applyProtection="0"/>
    <xf numFmtId="0" fontId="35" fillId="0" borderId="0" applyNumberForma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29" fillId="4" borderId="0" applyNumberFormat="0" applyBorder="0" applyAlignment="0" applyProtection="0"/>
    <xf numFmtId="0" fontId="32" fillId="7" borderId="21" applyNumberFormat="0" applyAlignment="0" applyProtection="0"/>
    <xf numFmtId="0" fontId="34" fillId="8" borderId="24" applyNumberFormat="0" applyAlignment="0" applyProtection="0"/>
    <xf numFmtId="43" fontId="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8" fillId="3" borderId="0" applyNumberFormat="0" applyBorder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7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30" fillId="6" borderId="21" applyNumberFormat="0" applyAlignment="0" applyProtection="0"/>
    <xf numFmtId="0" fontId="33" fillId="0" borderId="23" applyNumberFormat="0" applyFill="0" applyAlignment="0" applyProtection="0"/>
    <xf numFmtId="0" fontId="39" fillId="5" borderId="0" applyNumberFormat="0" applyBorder="0" applyAlignment="0" applyProtection="0"/>
    <xf numFmtId="0" fontId="1" fillId="0" borderId="0"/>
    <xf numFmtId="0" fontId="5" fillId="9" borderId="25" applyNumberFormat="0" applyFont="0" applyAlignment="0" applyProtection="0"/>
    <xf numFmtId="0" fontId="31" fillId="7" borderId="22" applyNumberFormat="0" applyAlignment="0" applyProtection="0"/>
    <xf numFmtId="0" fontId="40" fillId="0" borderId="0" applyNumberFormat="0" applyFill="0" applyBorder="0" applyAlignment="0" applyProtection="0"/>
    <xf numFmtId="0" fontId="13" fillId="0" borderId="26" applyNumberFormat="0" applyFill="0" applyAlignment="0" applyProtection="0"/>
    <xf numFmtId="0" fontId="35" fillId="0" borderId="0" applyNumberFormat="0" applyFill="0" applyBorder="0" applyAlignment="0" applyProtection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37" fillId="0" borderId="0"/>
    <xf numFmtId="41" fontId="18" fillId="0" borderId="0" applyFont="0" applyFill="0" applyBorder="0" applyAlignment="0" applyProtection="0"/>
    <xf numFmtId="0" fontId="1" fillId="0" borderId="0"/>
    <xf numFmtId="0" fontId="5" fillId="0" borderId="0"/>
    <xf numFmtId="0" fontId="37" fillId="0" borderId="0"/>
    <xf numFmtId="43" fontId="18" fillId="0" borderId="0" applyFont="0" applyFill="0" applyBorder="0" applyAlignment="0" applyProtection="0"/>
    <xf numFmtId="0" fontId="37" fillId="0" borderId="0"/>
    <xf numFmtId="0" fontId="5" fillId="0" borderId="0"/>
    <xf numFmtId="43" fontId="37" fillId="0" borderId="0" applyFont="0" applyFill="0" applyBorder="0" applyAlignment="0" applyProtection="0"/>
    <xf numFmtId="0" fontId="37" fillId="0" borderId="0"/>
    <xf numFmtId="43" fontId="41" fillId="0" borderId="0" applyFont="0" applyFill="0" applyBorder="0" applyAlignment="0" applyProtection="0"/>
    <xf numFmtId="0" fontId="20" fillId="0" borderId="0"/>
    <xf numFmtId="43" fontId="1" fillId="0" borderId="0" applyFont="0" applyFill="0" applyBorder="0" applyAlignment="0" applyProtection="0"/>
    <xf numFmtId="0" fontId="37" fillId="0" borderId="0"/>
    <xf numFmtId="0" fontId="5" fillId="0" borderId="0"/>
    <xf numFmtId="43" fontId="37" fillId="0" borderId="0" applyFont="0" applyFill="0" applyBorder="0" applyAlignment="0" applyProtection="0"/>
    <xf numFmtId="0" fontId="1" fillId="0" borderId="0"/>
    <xf numFmtId="0" fontId="5" fillId="0" borderId="0"/>
    <xf numFmtId="0" fontId="37" fillId="0" borderId="0"/>
    <xf numFmtId="43" fontId="37" fillId="0" borderId="0" applyFont="0" applyFill="0" applyBorder="0" applyAlignment="0" applyProtection="0"/>
    <xf numFmtId="0" fontId="20" fillId="0" borderId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37" fillId="0" borderId="0"/>
    <xf numFmtId="0" fontId="5" fillId="0" borderId="0"/>
    <xf numFmtId="0" fontId="20" fillId="0" borderId="0"/>
    <xf numFmtId="0" fontId="1" fillId="0" borderId="0"/>
    <xf numFmtId="0" fontId="5" fillId="0" borderId="0"/>
    <xf numFmtId="43" fontId="37" fillId="0" borderId="0" applyFont="0" applyFill="0" applyBorder="0" applyAlignment="0" applyProtection="0"/>
    <xf numFmtId="0" fontId="20" fillId="0" borderId="0"/>
    <xf numFmtId="43" fontId="18" fillId="0" borderId="0" applyFont="0" applyFill="0" applyBorder="0" applyAlignment="0" applyProtection="0"/>
    <xf numFmtId="0" fontId="1" fillId="0" borderId="0"/>
    <xf numFmtId="0" fontId="37" fillId="0" borderId="0"/>
    <xf numFmtId="43" fontId="37" fillId="0" borderId="0" applyFont="0" applyFill="0" applyBorder="0" applyAlignment="0" applyProtection="0"/>
    <xf numFmtId="0" fontId="37" fillId="0" borderId="0"/>
    <xf numFmtId="0" fontId="1" fillId="0" borderId="0"/>
    <xf numFmtId="43" fontId="18" fillId="0" borderId="0" applyFont="0" applyFill="0" applyBorder="0" applyAlignment="0" applyProtection="0"/>
    <xf numFmtId="0" fontId="1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0" fillId="0" borderId="0"/>
    <xf numFmtId="0" fontId="37" fillId="0" borderId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0" fontId="37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7" fillId="0" borderId="0"/>
    <xf numFmtId="0" fontId="37" fillId="0" borderId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0" fontId="37" fillId="0" borderId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7" fillId="0" borderId="0"/>
    <xf numFmtId="9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7" fillId="0" borderId="0"/>
    <xf numFmtId="43" fontId="37" fillId="0" borderId="0" applyFont="0" applyFill="0" applyBorder="0" applyAlignment="0" applyProtection="0"/>
    <xf numFmtId="0" fontId="20" fillId="0" borderId="0"/>
    <xf numFmtId="43" fontId="18" fillId="0" borderId="0" applyFont="0" applyFill="0" applyBorder="0" applyAlignment="0" applyProtection="0"/>
    <xf numFmtId="0" fontId="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37" fillId="0" borderId="0"/>
    <xf numFmtId="43" fontId="18" fillId="0" borderId="0" applyFont="0" applyFill="0" applyBorder="0" applyAlignment="0" applyProtection="0"/>
    <xf numFmtId="0" fontId="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18" fillId="0" borderId="0" applyFont="0" applyFill="0" applyBorder="0" applyAlignment="0" applyProtection="0"/>
    <xf numFmtId="0" fontId="5" fillId="0" borderId="0"/>
    <xf numFmtId="0" fontId="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32" borderId="0" applyNumberFormat="0" applyBorder="0" applyAlignment="0" applyProtection="0"/>
    <xf numFmtId="0" fontId="5" fillId="20" borderId="0" applyNumberFormat="0" applyBorder="0" applyAlignment="0" applyProtection="0"/>
    <xf numFmtId="0" fontId="5" fillId="12" borderId="0" applyNumberFormat="0" applyBorder="0" applyAlignment="0" applyProtection="0"/>
    <xf numFmtId="0" fontId="5" fillId="24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6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9" borderId="25" applyNumberFormat="0" applyFont="0" applyAlignment="0" applyProtection="0"/>
    <xf numFmtId="0" fontId="5" fillId="28" borderId="0" applyNumberFormat="0" applyBorder="0" applyAlignment="0" applyProtection="0"/>
    <xf numFmtId="41" fontId="5" fillId="0" borderId="0" applyFont="0" applyFill="0" applyBorder="0" applyAlignment="0" applyProtection="0"/>
    <xf numFmtId="0" fontId="18" fillId="0" borderId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43" fontId="5" fillId="0" borderId="0" applyFont="0" applyFill="0" applyBorder="0" applyAlignment="0" applyProtection="0"/>
    <xf numFmtId="0" fontId="5" fillId="9" borderId="25" applyNumberFormat="0" applyFont="0" applyAlignment="0" applyProtection="0"/>
    <xf numFmtId="0" fontId="1" fillId="0" borderId="0"/>
    <xf numFmtId="0" fontId="5" fillId="0" borderId="0"/>
    <xf numFmtId="43" fontId="18" fillId="0" borderId="0" applyFont="0" applyFill="0" applyBorder="0" applyAlignment="0" applyProtection="0"/>
    <xf numFmtId="0" fontId="37" fillId="0" borderId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8" fillId="0" borderId="0" applyFont="0" applyFill="0" applyBorder="0" applyAlignment="0" applyProtection="0"/>
    <xf numFmtId="0" fontId="5" fillId="0" borderId="0"/>
    <xf numFmtId="0" fontId="20" fillId="0" borderId="0"/>
    <xf numFmtId="43" fontId="37" fillId="0" borderId="0" applyFont="0" applyFill="0" applyBorder="0" applyAlignment="0" applyProtection="0"/>
    <xf numFmtId="0" fontId="37" fillId="0" borderId="0"/>
    <xf numFmtId="43" fontId="18" fillId="0" borderId="0" applyFont="0" applyFill="0" applyBorder="0" applyAlignment="0" applyProtection="0"/>
    <xf numFmtId="0" fontId="1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43" fontId="5" fillId="0" borderId="0" applyFont="0" applyFill="0" applyBorder="0" applyAlignment="0" applyProtection="0"/>
    <xf numFmtId="0" fontId="5" fillId="9" borderId="25" applyNumberFormat="0" applyFont="0" applyAlignment="0" applyProtection="0"/>
    <xf numFmtId="0" fontId="5" fillId="0" borderId="0"/>
    <xf numFmtId="43" fontId="18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43" fontId="5" fillId="0" borderId="0" applyFont="0" applyFill="0" applyBorder="0" applyAlignment="0" applyProtection="0"/>
    <xf numFmtId="0" fontId="5" fillId="9" borderId="25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43" fontId="5" fillId="0" borderId="0" applyFont="0" applyFill="0" applyBorder="0" applyAlignment="0" applyProtection="0"/>
    <xf numFmtId="0" fontId="5" fillId="9" borderId="25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0" fontId="37" fillId="0" borderId="0"/>
    <xf numFmtId="0" fontId="5" fillId="0" borderId="0"/>
    <xf numFmtId="43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37" fillId="0" borderId="0" applyFont="0" applyFill="0" applyBorder="0" applyAlignment="0" applyProtection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18" fillId="0" borderId="0" applyFont="0" applyFill="0" applyBorder="0" applyAlignment="0" applyProtection="0"/>
    <xf numFmtId="0" fontId="5" fillId="0" borderId="0"/>
    <xf numFmtId="0" fontId="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32" borderId="0" applyNumberFormat="0" applyBorder="0" applyAlignment="0" applyProtection="0"/>
    <xf numFmtId="0" fontId="5" fillId="20" borderId="0" applyNumberFormat="0" applyBorder="0" applyAlignment="0" applyProtection="0"/>
    <xf numFmtId="0" fontId="5" fillId="12" borderId="0" applyNumberFormat="0" applyBorder="0" applyAlignment="0" applyProtection="0"/>
    <xf numFmtId="0" fontId="5" fillId="24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6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9" borderId="25" applyNumberFormat="0" applyFont="0" applyAlignment="0" applyProtection="0"/>
    <xf numFmtId="0" fontId="5" fillId="28" borderId="0" applyNumberFormat="0" applyBorder="0" applyAlignment="0" applyProtection="0"/>
    <xf numFmtId="41" fontId="5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43" fontId="5" fillId="0" borderId="0" applyFont="0" applyFill="0" applyBorder="0" applyAlignment="0" applyProtection="0"/>
    <xf numFmtId="0" fontId="5" fillId="9" borderId="25" applyNumberFormat="0" applyFont="0" applyAlignment="0" applyProtection="0"/>
    <xf numFmtId="0" fontId="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2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3" fillId="0" borderId="0"/>
    <xf numFmtId="0" fontId="44" fillId="0" borderId="0"/>
    <xf numFmtId="0" fontId="45" fillId="0" borderId="0"/>
    <xf numFmtId="0" fontId="1" fillId="0" borderId="0"/>
    <xf numFmtId="0" fontId="46" fillId="0" borderId="0"/>
    <xf numFmtId="0" fontId="1" fillId="0" borderId="0"/>
    <xf numFmtId="0" fontId="47" fillId="0" borderId="0"/>
    <xf numFmtId="0" fontId="48" fillId="0" borderId="0"/>
    <xf numFmtId="0" fontId="49" fillId="0" borderId="0"/>
    <xf numFmtId="0" fontId="50" fillId="0" borderId="0"/>
    <xf numFmtId="0" fontId="51" fillId="0" borderId="0"/>
    <xf numFmtId="0" fontId="52" fillId="0" borderId="0"/>
    <xf numFmtId="0" fontId="1" fillId="0" borderId="0"/>
    <xf numFmtId="0" fontId="1" fillId="0" borderId="0"/>
    <xf numFmtId="0" fontId="53" fillId="0" borderId="0"/>
    <xf numFmtId="0" fontId="54" fillId="0" borderId="0"/>
    <xf numFmtId="0" fontId="55" fillId="0" borderId="0"/>
    <xf numFmtId="0" fontId="56" fillId="0" borderId="0"/>
    <xf numFmtId="0" fontId="1" fillId="0" borderId="0"/>
    <xf numFmtId="0" fontId="1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68" fillId="0" borderId="0"/>
    <xf numFmtId="0" fontId="69" fillId="0" borderId="0"/>
    <xf numFmtId="0" fontId="69" fillId="0" borderId="0"/>
    <xf numFmtId="0" fontId="70" fillId="0" borderId="0"/>
    <xf numFmtId="0" fontId="71" fillId="0" borderId="0"/>
    <xf numFmtId="0" fontId="72" fillId="0" borderId="0"/>
    <xf numFmtId="0" fontId="73" fillId="0" borderId="0"/>
    <xf numFmtId="0" fontId="74" fillId="0" borderId="0"/>
    <xf numFmtId="0" fontId="75" fillId="0" borderId="0"/>
    <xf numFmtId="0" fontId="76" fillId="0" borderId="0"/>
    <xf numFmtId="0" fontId="77" fillId="0" borderId="0"/>
    <xf numFmtId="0" fontId="78" fillId="0" borderId="0"/>
    <xf numFmtId="0" fontId="79" fillId="0" borderId="0"/>
    <xf numFmtId="0" fontId="80" fillId="0" borderId="0"/>
    <xf numFmtId="0" fontId="81" fillId="0" borderId="0"/>
    <xf numFmtId="0" fontId="82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88" fillId="0" borderId="0"/>
    <xf numFmtId="0" fontId="89" fillId="0" borderId="0"/>
    <xf numFmtId="0" fontId="90" fillId="0" borderId="0"/>
    <xf numFmtId="0" fontId="91" fillId="0" borderId="0"/>
    <xf numFmtId="0" fontId="1" fillId="0" borderId="0"/>
    <xf numFmtId="0" fontId="92" fillId="0" borderId="0"/>
    <xf numFmtId="0" fontId="93" fillId="0" borderId="0"/>
    <xf numFmtId="0" fontId="1" fillId="0" borderId="0"/>
    <xf numFmtId="0" fontId="94" fillId="0" borderId="0"/>
    <xf numFmtId="0" fontId="95" fillId="0" borderId="0"/>
    <xf numFmtId="0" fontId="96" fillId="0" borderId="0"/>
    <xf numFmtId="0" fontId="97" fillId="0" borderId="0"/>
    <xf numFmtId="0" fontId="98" fillId="0" borderId="0"/>
    <xf numFmtId="0" fontId="99" fillId="0" borderId="0"/>
    <xf numFmtId="0" fontId="100" fillId="0" borderId="0"/>
    <xf numFmtId="0" fontId="101" fillId="0" borderId="0"/>
    <xf numFmtId="0" fontId="102" fillId="0" borderId="0"/>
    <xf numFmtId="0" fontId="103" fillId="0" borderId="0"/>
    <xf numFmtId="0" fontId="104" fillId="0" borderId="0"/>
    <xf numFmtId="0" fontId="105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07" fillId="0" borderId="0"/>
    <xf numFmtId="0" fontId="108" fillId="0" borderId="0"/>
    <xf numFmtId="0" fontId="109" fillId="0" borderId="0"/>
    <xf numFmtId="0" fontId="1" fillId="0" borderId="0"/>
    <xf numFmtId="0" fontId="110" fillId="0" borderId="0"/>
    <xf numFmtId="0" fontId="111" fillId="0" borderId="0"/>
    <xf numFmtId="0" fontId="112" fillId="0" borderId="0"/>
    <xf numFmtId="0" fontId="18" fillId="0" borderId="0"/>
  </cellStyleXfs>
  <cellXfs count="196">
    <xf numFmtId="0" fontId="0" fillId="0" borderId="0" xfId="0"/>
    <xf numFmtId="0" fontId="0" fillId="0" borderId="0" xfId="0" applyAlignment="1">
      <alignment horizontal="center"/>
    </xf>
    <xf numFmtId="41" fontId="0" fillId="0" borderId="3" xfId="5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0" fillId="0" borderId="12" xfId="2" applyFont="1" applyBorder="1" applyAlignment="1">
      <alignment horizontal="left" vertical="center"/>
    </xf>
    <xf numFmtId="41" fontId="0" fillId="0" borderId="12" xfId="5" applyFont="1" applyBorder="1" applyAlignment="1">
      <alignment horizontal="center" vertical="center"/>
    </xf>
    <xf numFmtId="3" fontId="0" fillId="0" borderId="0" xfId="0" applyNumberFormat="1"/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10" fillId="0" borderId="13" xfId="2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10" fillId="2" borderId="1" xfId="2" applyFont="1" applyFill="1" applyBorder="1" applyAlignment="1">
      <alignment horizontal="center" vertical="center"/>
    </xf>
    <xf numFmtId="41" fontId="0" fillId="2" borderId="1" xfId="5" applyFont="1" applyFill="1" applyBorder="1" applyAlignment="1">
      <alignment horizontal="center" vertical="center"/>
    </xf>
    <xf numFmtId="41" fontId="0" fillId="0" borderId="0" xfId="5" applyFont="1" applyAlignment="1">
      <alignment horizontal="center" vertical="center"/>
    </xf>
    <xf numFmtId="0" fontId="1" fillId="0" borderId="0" xfId="10" applyFont="1" applyAlignment="1">
      <alignment vertical="center"/>
    </xf>
    <xf numFmtId="49" fontId="3" fillId="0" borderId="0" xfId="10" applyNumberFormat="1" applyFont="1" applyAlignment="1">
      <alignment horizontal="center" vertical="center"/>
    </xf>
    <xf numFmtId="0" fontId="18" fillId="0" borderId="0" xfId="10"/>
    <xf numFmtId="49" fontId="1" fillId="0" borderId="0" xfId="10" applyNumberFormat="1" applyFont="1" applyAlignment="1">
      <alignment horizontal="center" vertical="center"/>
    </xf>
    <xf numFmtId="0" fontId="10" fillId="0" borderId="0" xfId="10" applyFont="1" applyAlignment="1">
      <alignment vertical="center"/>
    </xf>
    <xf numFmtId="1" fontId="18" fillId="2" borderId="0" xfId="10" applyNumberFormat="1" applyFill="1" applyProtection="1">
      <protection locked="0"/>
    </xf>
    <xf numFmtId="49" fontId="20" fillId="2" borderId="0" xfId="11" applyNumberFormat="1" applyFont="1" applyFill="1" applyAlignment="1">
      <alignment horizontal="center"/>
    </xf>
    <xf numFmtId="1" fontId="5" fillId="2" borderId="0" xfId="12" applyNumberFormat="1" applyFill="1" applyProtection="1">
      <protection locked="0"/>
    </xf>
    <xf numFmtId="0" fontId="5" fillId="2" borderId="0" xfId="12" applyFill="1" applyProtection="1">
      <protection locked="0"/>
    </xf>
    <xf numFmtId="49" fontId="3" fillId="0" borderId="0" xfId="10" quotePrefix="1" applyNumberFormat="1" applyFont="1" applyAlignment="1">
      <alignment horizontal="center" vertical="center"/>
    </xf>
    <xf numFmtId="49" fontId="18" fillId="0" borderId="0" xfId="10" applyNumberFormat="1"/>
    <xf numFmtId="0" fontId="18" fillId="2" borderId="0" xfId="10" applyFill="1"/>
    <xf numFmtId="0" fontId="1" fillId="2" borderId="0" xfId="10" applyFont="1" applyFill="1" applyAlignment="1">
      <alignment vertical="center"/>
    </xf>
    <xf numFmtId="49" fontId="3" fillId="2" borderId="0" xfId="10" applyNumberFormat="1" applyFont="1" applyFill="1" applyAlignment="1">
      <alignment horizontal="center" vertical="center"/>
    </xf>
    <xf numFmtId="0" fontId="21" fillId="2" borderId="0" xfId="10" applyFont="1" applyFill="1" applyAlignment="1">
      <alignment vertical="center"/>
    </xf>
    <xf numFmtId="49" fontId="22" fillId="2" borderId="0" xfId="10" applyNumberFormat="1" applyFont="1" applyFill="1" applyAlignment="1">
      <alignment horizontal="center" vertical="center"/>
    </xf>
    <xf numFmtId="0" fontId="23" fillId="2" borderId="0" xfId="10" applyFont="1" applyFill="1"/>
    <xf numFmtId="41" fontId="0" fillId="0" borderId="0" xfId="0" applyNumberFormat="1"/>
    <xf numFmtId="49" fontId="0" fillId="0" borderId="0" xfId="0" quotePrefix="1" applyNumberFormat="1" applyAlignment="1">
      <alignment horizontal="center"/>
    </xf>
    <xf numFmtId="0" fontId="10" fillId="34" borderId="12" xfId="2" applyFont="1" applyFill="1" applyBorder="1" applyAlignment="1">
      <alignment horizontal="left" vertical="center"/>
    </xf>
    <xf numFmtId="0" fontId="10" fillId="34" borderId="1" xfId="2" applyFont="1" applyFill="1" applyBorder="1" applyAlignment="1">
      <alignment horizontal="left" vertical="center"/>
    </xf>
    <xf numFmtId="0" fontId="10" fillId="34" borderId="12" xfId="2" applyFont="1" applyFill="1" applyBorder="1" applyAlignment="1">
      <alignment horizontal="center" vertical="center"/>
    </xf>
    <xf numFmtId="41" fontId="0" fillId="34" borderId="12" xfId="5" applyFont="1" applyFill="1" applyBorder="1" applyAlignment="1">
      <alignment horizontal="center" vertical="center"/>
    </xf>
    <xf numFmtId="0" fontId="10" fillId="35" borderId="1" xfId="2" applyFont="1" applyFill="1" applyBorder="1" applyAlignment="1">
      <alignment horizontal="center" vertical="center"/>
    </xf>
    <xf numFmtId="0" fontId="10" fillId="35" borderId="1" xfId="2" applyFont="1" applyFill="1" applyBorder="1" applyAlignment="1">
      <alignment horizontal="left" vertical="center"/>
    </xf>
    <xf numFmtId="0" fontId="10" fillId="35" borderId="12" xfId="2" applyFont="1" applyFill="1" applyBorder="1" applyAlignment="1">
      <alignment horizontal="left" vertical="center"/>
    </xf>
    <xf numFmtId="0" fontId="10" fillId="35" borderId="12" xfId="2" applyFont="1" applyFill="1" applyBorder="1" applyAlignment="1">
      <alignment horizontal="center" vertical="center"/>
    </xf>
    <xf numFmtId="41" fontId="0" fillId="35" borderId="12" xfId="5" applyFont="1" applyFill="1" applyBorder="1" applyAlignment="1">
      <alignment horizontal="center" vertical="center"/>
    </xf>
    <xf numFmtId="43" fontId="0" fillId="0" borderId="0" xfId="0" applyNumberFormat="1"/>
    <xf numFmtId="0" fontId="12" fillId="0" borderId="0" xfId="6" applyFont="1"/>
    <xf numFmtId="43" fontId="11" fillId="0" borderId="0" xfId="6" applyNumberFormat="1" applyFont="1"/>
    <xf numFmtId="0" fontId="0" fillId="36" borderId="0" xfId="0" applyFill="1"/>
    <xf numFmtId="43" fontId="12" fillId="0" borderId="0" xfId="2039" applyNumberFormat="1" applyFont="1"/>
    <xf numFmtId="43" fontId="12" fillId="36" borderId="0" xfId="2039" applyNumberFormat="1" applyFont="1" applyFill="1"/>
    <xf numFmtId="43" fontId="11" fillId="0" borderId="0" xfId="2039" applyNumberFormat="1" applyFont="1"/>
    <xf numFmtId="43" fontId="16" fillId="0" borderId="0" xfId="2039" applyNumberFormat="1" applyFont="1"/>
    <xf numFmtId="0" fontId="16" fillId="0" borderId="0" xfId="2039" applyFont="1"/>
    <xf numFmtId="0" fontId="18" fillId="0" borderId="0" xfId="2039"/>
    <xf numFmtId="0" fontId="12" fillId="0" borderId="0" xfId="2039" applyFont="1"/>
    <xf numFmtId="0" fontId="12" fillId="0" borderId="0" xfId="2039" applyFont="1" applyAlignment="1">
      <alignment horizontal="center" vertical="center"/>
    </xf>
    <xf numFmtId="41" fontId="12" fillId="0" borderId="0" xfId="2039" applyNumberFormat="1" applyFont="1" applyAlignment="1">
      <alignment horizontal="center"/>
    </xf>
    <xf numFmtId="0" fontId="12" fillId="0" borderId="35" xfId="2039" applyFont="1" applyBorder="1" applyAlignment="1">
      <alignment horizontal="center" vertical="center" wrapText="1"/>
    </xf>
    <xf numFmtId="41" fontId="12" fillId="0" borderId="2" xfId="2039" applyNumberFormat="1" applyFont="1" applyBorder="1" applyAlignment="1">
      <alignment horizontal="center" vertical="center"/>
    </xf>
    <xf numFmtId="43" fontId="12" fillId="0" borderId="2" xfId="2039" applyNumberFormat="1" applyFont="1" applyBorder="1" applyAlignment="1">
      <alignment horizontal="center" vertical="center"/>
    </xf>
    <xf numFmtId="0" fontId="12" fillId="0" borderId="16" xfId="2039" applyFont="1" applyBorder="1" applyAlignment="1">
      <alignment horizontal="center"/>
    </xf>
    <xf numFmtId="0" fontId="12" fillId="0" borderId="1" xfId="2039" applyFont="1" applyBorder="1" applyAlignment="1">
      <alignment horizontal="left" vertical="center"/>
    </xf>
    <xf numFmtId="0" fontId="114" fillId="0" borderId="1" xfId="2039" applyFont="1" applyBorder="1" applyAlignment="1">
      <alignment horizontal="center" vertical="center"/>
    </xf>
    <xf numFmtId="43" fontId="12" fillId="0" borderId="1" xfId="2039" applyNumberFormat="1" applyFont="1" applyBorder="1" applyAlignment="1">
      <alignment horizontal="center"/>
    </xf>
    <xf numFmtId="43" fontId="12" fillId="36" borderId="1" xfId="2039" applyNumberFormat="1" applyFont="1" applyFill="1" applyBorder="1" applyAlignment="1">
      <alignment horizontal="center"/>
    </xf>
    <xf numFmtId="43" fontId="11" fillId="0" borderId="1" xfId="2039" applyNumberFormat="1" applyFont="1" applyBorder="1"/>
    <xf numFmtId="0" fontId="12" fillId="0" borderId="17" xfId="2039" applyFont="1" applyBorder="1" applyAlignment="1">
      <alignment horizontal="center"/>
    </xf>
    <xf numFmtId="0" fontId="15" fillId="0" borderId="1" xfId="2039" applyFont="1" applyBorder="1" applyAlignment="1">
      <alignment horizontal="left" vertical="center"/>
    </xf>
    <xf numFmtId="0" fontId="15" fillId="0" borderId="1" xfId="172" applyFont="1" applyBorder="1" applyAlignment="1">
      <alignment horizontal="left" vertical="center"/>
    </xf>
    <xf numFmtId="0" fontId="11" fillId="0" borderId="1" xfId="2039" applyFont="1" applyBorder="1" applyAlignment="1">
      <alignment horizontal="left"/>
    </xf>
    <xf numFmtId="0" fontId="12" fillId="0" borderId="1" xfId="2039" applyFont="1" applyBorder="1" applyAlignment="1">
      <alignment horizontal="left"/>
    </xf>
    <xf numFmtId="0" fontId="12" fillId="0" borderId="1" xfId="172" applyFont="1" applyBorder="1" applyAlignment="1">
      <alignment horizontal="left" vertical="center"/>
    </xf>
    <xf numFmtId="0" fontId="12" fillId="0" borderId="0" xfId="2039" applyFont="1" applyAlignment="1">
      <alignment horizontal="center"/>
    </xf>
    <xf numFmtId="43" fontId="12" fillId="0" borderId="0" xfId="2039" applyNumberFormat="1" applyFont="1" applyAlignment="1">
      <alignment horizontal="center"/>
    </xf>
    <xf numFmtId="43" fontId="12" fillId="36" borderId="0" xfId="2039" applyNumberFormat="1" applyFont="1" applyFill="1" applyAlignment="1">
      <alignment horizontal="center"/>
    </xf>
    <xf numFmtId="0" fontId="12" fillId="0" borderId="1" xfId="2039" applyFont="1" applyBorder="1" applyAlignment="1">
      <alignment horizontal="center" vertical="center"/>
    </xf>
    <xf numFmtId="43" fontId="11" fillId="0" borderId="0" xfId="2039" applyNumberFormat="1" applyFont="1" applyAlignment="1">
      <alignment horizontal="center"/>
    </xf>
    <xf numFmtId="43" fontId="11" fillId="36" borderId="0" xfId="2039" applyNumberFormat="1" applyFont="1" applyFill="1"/>
    <xf numFmtId="43" fontId="11" fillId="36" borderId="0" xfId="2039" applyNumberFormat="1" applyFont="1" applyFill="1" applyAlignment="1">
      <alignment horizontal="center"/>
    </xf>
    <xf numFmtId="0" fontId="11" fillId="0" borderId="0" xfId="2039" applyFont="1"/>
    <xf numFmtId="0" fontId="11" fillId="0" borderId="0" xfId="2039" applyFont="1" applyAlignment="1">
      <alignment horizontal="center" vertical="center"/>
    </xf>
    <xf numFmtId="41" fontId="12" fillId="0" borderId="37" xfId="2039" applyNumberFormat="1" applyFont="1" applyBorder="1" applyAlignment="1">
      <alignment horizontal="center" vertical="center"/>
    </xf>
    <xf numFmtId="43" fontId="12" fillId="0" borderId="37" xfId="2039" applyNumberFormat="1" applyFont="1" applyBorder="1" applyAlignment="1">
      <alignment horizontal="center" vertical="center"/>
    </xf>
    <xf numFmtId="0" fontId="12" fillId="0" borderId="12" xfId="172" applyFont="1" applyBorder="1" applyAlignment="1">
      <alignment horizontal="left" vertical="center"/>
    </xf>
    <xf numFmtId="43" fontId="12" fillId="0" borderId="12" xfId="2039" applyNumberFormat="1" applyFont="1" applyBorder="1" applyAlignment="1">
      <alignment horizontal="center"/>
    </xf>
    <xf numFmtId="164" fontId="12" fillId="0" borderId="1" xfId="2039" applyNumberFormat="1" applyFont="1" applyBorder="1"/>
    <xf numFmtId="165" fontId="12" fillId="0" borderId="1" xfId="2039" applyNumberFormat="1" applyFont="1" applyBorder="1" applyAlignment="1">
      <alignment horizontal="center"/>
    </xf>
    <xf numFmtId="43" fontId="16" fillId="0" borderId="0" xfId="2039" applyNumberFormat="1" applyFont="1" applyAlignment="1">
      <alignment horizontal="center"/>
    </xf>
    <xf numFmtId="0" fontId="12" fillId="0" borderId="38" xfId="2039" applyFont="1" applyBorder="1" applyAlignment="1">
      <alignment horizontal="left" vertical="center"/>
    </xf>
    <xf numFmtId="0" fontId="12" fillId="0" borderId="2" xfId="172" applyFont="1" applyBorder="1" applyAlignment="1">
      <alignment horizontal="left" vertical="center"/>
    </xf>
    <xf numFmtId="0" fontId="12" fillId="0" borderId="0" xfId="2039" applyFont="1" applyAlignment="1">
      <alignment horizontal="left"/>
    </xf>
    <xf numFmtId="0" fontId="114" fillId="0" borderId="0" xfId="2039" applyFont="1" applyAlignment="1">
      <alignment horizontal="center" vertical="center"/>
    </xf>
    <xf numFmtId="0" fontId="16" fillId="0" borderId="0" xfId="2039" applyFont="1" applyAlignment="1">
      <alignment horizontal="center"/>
    </xf>
    <xf numFmtId="164" fontId="12" fillId="0" borderId="0" xfId="2039" applyNumberFormat="1" applyFont="1"/>
    <xf numFmtId="165" fontId="12" fillId="0" borderId="0" xfId="2039" applyNumberFormat="1" applyFont="1" applyAlignment="1">
      <alignment horizontal="center"/>
    </xf>
    <xf numFmtId="0" fontId="11" fillId="0" borderId="1" xfId="2039" applyFont="1" applyBorder="1" applyAlignment="1">
      <alignment horizontal="center" vertical="center"/>
    </xf>
    <xf numFmtId="43" fontId="11" fillId="0" borderId="1" xfId="2039" applyNumberFormat="1" applyFont="1" applyBorder="1" applyAlignment="1">
      <alignment horizontal="center"/>
    </xf>
    <xf numFmtId="43" fontId="11" fillId="36" borderId="1" xfId="2039" applyNumberFormat="1" applyFont="1" applyFill="1" applyBorder="1" applyAlignment="1">
      <alignment horizontal="center"/>
    </xf>
    <xf numFmtId="0" fontId="11" fillId="2" borderId="1" xfId="2039" applyFont="1" applyFill="1" applyBorder="1" applyAlignment="1">
      <alignment horizontal="center" vertical="center"/>
    </xf>
    <xf numFmtId="43" fontId="11" fillId="2" borderId="1" xfId="2039" applyNumberFormat="1" applyFont="1" applyFill="1" applyBorder="1" applyAlignment="1">
      <alignment horizontal="center"/>
    </xf>
    <xf numFmtId="41" fontId="11" fillId="0" borderId="0" xfId="2039" applyNumberFormat="1" applyFont="1" applyAlignment="1">
      <alignment horizontal="center"/>
    </xf>
    <xf numFmtId="0" fontId="12" fillId="37" borderId="0" xfId="6" applyFont="1" applyFill="1"/>
    <xf numFmtId="0" fontId="0" fillId="37" borderId="0" xfId="0" applyFill="1"/>
    <xf numFmtId="0" fontId="0" fillId="0" borderId="3" xfId="0" applyBorder="1"/>
    <xf numFmtId="0" fontId="0" fillId="36" borderId="3" xfId="0" applyFill="1" applyBorder="1"/>
    <xf numFmtId="0" fontId="0" fillId="0" borderId="12" xfId="0" applyBorder="1"/>
    <xf numFmtId="0" fontId="0" fillId="36" borderId="12" xfId="0" applyFill="1" applyBorder="1"/>
    <xf numFmtId="0" fontId="0" fillId="0" borderId="37" xfId="0" applyBorder="1"/>
    <xf numFmtId="0" fontId="0" fillId="36" borderId="37" xfId="0" applyFill="1" applyBorder="1"/>
    <xf numFmtId="0" fontId="12" fillId="0" borderId="16" xfId="6" applyFont="1" applyBorder="1" applyAlignment="1">
      <alignment horizontal="center"/>
    </xf>
    <xf numFmtId="0" fontId="12" fillId="0" borderId="13" xfId="6" applyFont="1" applyBorder="1" applyAlignment="1">
      <alignment horizontal="left" vertical="center"/>
    </xf>
    <xf numFmtId="43" fontId="0" fillId="0" borderId="12" xfId="0" applyNumberFormat="1" applyBorder="1"/>
    <xf numFmtId="0" fontId="12" fillId="0" borderId="17" xfId="6" applyFont="1" applyBorder="1" applyAlignment="1">
      <alignment horizontal="center"/>
    </xf>
    <xf numFmtId="0" fontId="15" fillId="0" borderId="13" xfId="6" applyFont="1" applyBorder="1" applyAlignment="1">
      <alignment horizontal="left" vertical="center"/>
    </xf>
    <xf numFmtId="0" fontId="0" fillId="0" borderId="1" xfId="0" applyBorder="1"/>
    <xf numFmtId="0" fontId="0" fillId="36" borderId="1" xfId="0" applyFill="1" applyBorder="1"/>
    <xf numFmtId="0" fontId="15" fillId="0" borderId="13" xfId="1" applyFont="1" applyBorder="1" applyAlignment="1">
      <alignment horizontal="left" vertical="center"/>
    </xf>
    <xf numFmtId="0" fontId="11" fillId="0" borderId="13" xfId="6" applyFont="1" applyBorder="1" applyAlignment="1">
      <alignment horizontal="left"/>
    </xf>
    <xf numFmtId="0" fontId="12" fillId="0" borderId="0" xfId="6" applyFont="1" applyAlignment="1">
      <alignment horizontal="center"/>
    </xf>
    <xf numFmtId="43" fontId="12" fillId="0" borderId="1" xfId="6" applyNumberFormat="1" applyFont="1" applyBorder="1" applyAlignment="1">
      <alignment horizontal="center"/>
    </xf>
    <xf numFmtId="0" fontId="16" fillId="0" borderId="0" xfId="6" applyFont="1"/>
    <xf numFmtId="0" fontId="0" fillId="0" borderId="15" xfId="0" applyBorder="1"/>
    <xf numFmtId="0" fontId="0" fillId="36" borderId="15" xfId="0" applyFill="1" applyBorder="1"/>
    <xf numFmtId="0" fontId="0" fillId="0" borderId="3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3" fontId="0" fillId="0" borderId="12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/>
    <xf numFmtId="43" fontId="115" fillId="37" borderId="0" xfId="0" applyNumberFormat="1" applyFont="1" applyFill="1"/>
    <xf numFmtId="41" fontId="9" fillId="0" borderId="8" xfId="5" applyFont="1" applyBorder="1" applyAlignment="1">
      <alignment horizontal="center" vertical="center"/>
    </xf>
    <xf numFmtId="41" fontId="9" fillId="0" borderId="11" xfId="5" applyFont="1" applyBorder="1" applyAlignment="1">
      <alignment horizontal="center" vertical="center"/>
    </xf>
    <xf numFmtId="0" fontId="10" fillId="35" borderId="31" xfId="2" applyFont="1" applyFill="1" applyBorder="1" applyAlignment="1">
      <alignment horizontal="center" vertical="center"/>
    </xf>
    <xf numFmtId="0" fontId="10" fillId="35" borderId="7" xfId="2" applyFont="1" applyFill="1" applyBorder="1" applyAlignment="1">
      <alignment horizontal="center" vertical="center"/>
    </xf>
    <xf numFmtId="0" fontId="7" fillId="0" borderId="5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8" fillId="0" borderId="29" xfId="2" applyFont="1" applyBorder="1" applyAlignment="1">
      <alignment horizontal="center" vertical="center"/>
    </xf>
    <xf numFmtId="0" fontId="8" fillId="0" borderId="30" xfId="2" applyFont="1" applyBorder="1" applyAlignment="1">
      <alignment horizontal="center" vertical="center"/>
    </xf>
    <xf numFmtId="0" fontId="8" fillId="0" borderId="32" xfId="2" applyFont="1" applyBorder="1" applyAlignment="1">
      <alignment horizontal="center" vertical="center"/>
    </xf>
    <xf numFmtId="41" fontId="9" fillId="0" borderId="8" xfId="5" applyFont="1" applyBorder="1" applyAlignment="1">
      <alignment horizontal="center" vertical="center" wrapText="1"/>
    </xf>
    <xf numFmtId="41" fontId="9" fillId="0" borderId="11" xfId="5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  <xf numFmtId="42" fontId="0" fillId="0" borderId="15" xfId="0" applyNumberFormat="1" applyBorder="1" applyAlignment="1">
      <alignment horizontal="center" vertical="center"/>
    </xf>
    <xf numFmtId="42" fontId="0" fillId="0" borderId="37" xfId="0" applyNumberFormat="1" applyBorder="1" applyAlignment="1">
      <alignment horizontal="center" vertical="center"/>
    </xf>
    <xf numFmtId="41" fontId="16" fillId="0" borderId="8" xfId="5" applyFont="1" applyBorder="1" applyAlignment="1">
      <alignment horizontal="center" vertical="center" wrapText="1"/>
    </xf>
    <xf numFmtId="41" fontId="16" fillId="0" borderId="11" xfId="5" applyFont="1" applyBorder="1" applyAlignment="1">
      <alignment horizontal="center" vertical="center" wrapText="1"/>
    </xf>
    <xf numFmtId="0" fontId="11" fillId="0" borderId="2" xfId="2039" applyFont="1" applyBorder="1" applyAlignment="1">
      <alignment horizontal="center" vertical="center"/>
    </xf>
    <xf numFmtId="0" fontId="11" fillId="0" borderId="12" xfId="2039" applyFont="1" applyBorder="1" applyAlignment="1">
      <alignment horizontal="center" vertical="center"/>
    </xf>
    <xf numFmtId="0" fontId="16" fillId="0" borderId="13" xfId="2039" applyFont="1" applyBorder="1" applyAlignment="1">
      <alignment horizontal="center"/>
    </xf>
    <xf numFmtId="0" fontId="16" fillId="0" borderId="27" xfId="2039" applyFont="1" applyBorder="1" applyAlignment="1">
      <alignment horizontal="center"/>
    </xf>
    <xf numFmtId="0" fontId="11" fillId="2" borderId="1" xfId="2039" applyFont="1" applyFill="1" applyBorder="1" applyAlignment="1">
      <alignment horizontal="center" vertical="center"/>
    </xf>
    <xf numFmtId="0" fontId="16" fillId="2" borderId="1" xfId="2039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9" xfId="6" applyFont="1" applyBorder="1"/>
    <xf numFmtId="0" fontId="12" fillId="0" borderId="33" xfId="6" applyFont="1" applyBorder="1" applyAlignment="1">
      <alignment horizontal="center" vertical="center"/>
    </xf>
    <xf numFmtId="0" fontId="12" fillId="0" borderId="10" xfId="6" applyFont="1" applyBorder="1"/>
    <xf numFmtId="43" fontId="12" fillId="0" borderId="15" xfId="2039" applyNumberFormat="1" applyFont="1" applyBorder="1" applyAlignment="1">
      <alignment horizontal="center" vertical="center" wrapText="1"/>
    </xf>
    <xf numFmtId="43" fontId="12" fillId="0" borderId="37" xfId="2039" applyNumberFormat="1" applyFont="1" applyBorder="1"/>
    <xf numFmtId="43" fontId="12" fillId="0" borderId="15" xfId="2039" applyNumberFormat="1" applyFont="1" applyBorder="1" applyAlignment="1">
      <alignment horizontal="center" vertical="center"/>
    </xf>
    <xf numFmtId="43" fontId="11" fillId="0" borderId="15" xfId="2039" applyNumberFormat="1" applyFont="1" applyBorder="1" applyAlignment="1">
      <alignment horizontal="center" vertical="center" wrapText="1"/>
    </xf>
    <xf numFmtId="43" fontId="11" fillId="0" borderId="37" xfId="2039" applyNumberFormat="1" applyFont="1" applyBorder="1" applyAlignment="1">
      <alignment horizontal="center" vertical="center" wrapText="1"/>
    </xf>
    <xf numFmtId="43" fontId="12" fillId="0" borderId="37" xfId="2039" applyNumberFormat="1" applyFont="1" applyBorder="1" applyAlignment="1">
      <alignment horizontal="center" vertical="center" wrapText="1"/>
    </xf>
    <xf numFmtId="43" fontId="12" fillId="0" borderId="37" xfId="2039" applyNumberFormat="1" applyFont="1" applyBorder="1" applyAlignment="1">
      <alignment horizontal="center" vertical="center"/>
    </xf>
    <xf numFmtId="43" fontId="12" fillId="36" borderId="8" xfId="2039" applyNumberFormat="1" applyFont="1" applyFill="1" applyBorder="1" applyAlignment="1">
      <alignment horizontal="center" vertical="center"/>
    </xf>
    <xf numFmtId="43" fontId="12" fillId="36" borderId="12" xfId="2039" applyNumberFormat="1" applyFont="1" applyFill="1" applyBorder="1" applyAlignment="1">
      <alignment horizontal="center" vertical="center"/>
    </xf>
    <xf numFmtId="43" fontId="12" fillId="36" borderId="8" xfId="2039" applyNumberFormat="1" applyFont="1" applyFill="1" applyBorder="1" applyAlignment="1">
      <alignment horizontal="center" vertical="center" wrapText="1"/>
    </xf>
    <xf numFmtId="43" fontId="12" fillId="36" borderId="12" xfId="2039" applyNumberFormat="1" applyFont="1" applyFill="1" applyBorder="1" applyAlignment="1">
      <alignment horizontal="center" vertical="center" wrapText="1"/>
    </xf>
    <xf numFmtId="0" fontId="12" fillId="0" borderId="4" xfId="2039" applyFont="1" applyBorder="1" applyAlignment="1">
      <alignment horizontal="center" vertical="center"/>
    </xf>
    <xf numFmtId="0" fontId="12" fillId="0" borderId="9" xfId="2039" applyFont="1" applyBorder="1" applyAlignment="1">
      <alignment horizontal="center" vertical="center"/>
    </xf>
    <xf numFmtId="0" fontId="12" fillId="0" borderId="28" xfId="2039" applyFont="1" applyBorder="1" applyAlignment="1">
      <alignment horizontal="center" vertical="center" wrapText="1"/>
    </xf>
    <xf numFmtId="0" fontId="12" fillId="0" borderId="36" xfId="2039" applyFont="1" applyBorder="1" applyAlignment="1">
      <alignment horizontal="center" vertical="center" wrapText="1"/>
    </xf>
    <xf numFmtId="43" fontId="12" fillId="0" borderId="15" xfId="2039" applyNumberFormat="1" applyFont="1" applyBorder="1"/>
    <xf numFmtId="43" fontId="12" fillId="0" borderId="8" xfId="2039" applyNumberFormat="1" applyFont="1" applyBorder="1" applyAlignment="1">
      <alignment horizontal="center" vertical="center" wrapText="1"/>
    </xf>
    <xf numFmtId="43" fontId="12" fillId="0" borderId="11" xfId="2039" applyNumberFormat="1" applyFont="1" applyBorder="1" applyAlignment="1">
      <alignment horizontal="center" vertical="center" wrapText="1"/>
    </xf>
    <xf numFmtId="43" fontId="12" fillId="0" borderId="2" xfId="2039" applyNumberFormat="1" applyFont="1" applyBorder="1"/>
    <xf numFmtId="43" fontId="11" fillId="0" borderId="2" xfId="2039" applyNumberFormat="1" applyFont="1" applyBorder="1" applyAlignment="1">
      <alignment horizontal="center" vertical="center" wrapText="1"/>
    </xf>
    <xf numFmtId="0" fontId="12" fillId="0" borderId="1" xfId="2039" applyFont="1" applyBorder="1" applyAlignment="1">
      <alignment horizontal="center" vertical="center"/>
    </xf>
    <xf numFmtId="0" fontId="16" fillId="0" borderId="1" xfId="2039" applyFont="1" applyBorder="1" applyAlignment="1">
      <alignment horizontal="center"/>
    </xf>
    <xf numFmtId="43" fontId="12" fillId="0" borderId="2" xfId="2039" applyNumberFormat="1" applyFont="1" applyBorder="1" applyAlignment="1">
      <alignment horizontal="center" vertical="center"/>
    </xf>
    <xf numFmtId="0" fontId="113" fillId="0" borderId="0" xfId="6" applyFont="1" applyAlignment="1">
      <alignment horizontal="center" vertical="center"/>
    </xf>
    <xf numFmtId="43" fontId="12" fillId="0" borderId="0" xfId="6" applyNumberFormat="1" applyFont="1" applyAlignment="1">
      <alignment horizontal="center"/>
    </xf>
    <xf numFmtId="0" fontId="12" fillId="37" borderId="0" xfId="2039" applyFont="1" applyFill="1" applyAlignment="1">
      <alignment horizontal="left"/>
    </xf>
    <xf numFmtId="0" fontId="12" fillId="0" borderId="9" xfId="2039" applyFont="1" applyBorder="1"/>
    <xf numFmtId="0" fontId="12" fillId="0" borderId="34" xfId="2039" applyFont="1" applyBorder="1" applyAlignment="1">
      <alignment horizontal="center" vertical="center" wrapText="1"/>
    </xf>
    <xf numFmtId="43" fontId="12" fillId="0" borderId="12" xfId="2039" applyNumberFormat="1" applyFont="1" applyBorder="1" applyAlignment="1">
      <alignment horizontal="center" vertical="center" wrapText="1"/>
    </xf>
    <xf numFmtId="43" fontId="12" fillId="0" borderId="2" xfId="2039" applyNumberFormat="1" applyFont="1" applyBorder="1" applyAlignment="1">
      <alignment horizontal="center" vertical="center" wrapText="1"/>
    </xf>
  </cellXfs>
  <cellStyles count="2040">
    <cellStyle name="20% - Accent1 2" xfId="116" xr:uid="{8CA12B20-0D82-469B-8012-8A4E49FDC74A}"/>
    <cellStyle name="20% - Accent1 2 2" xfId="303" xr:uid="{6F05E54D-944E-4635-8146-D974AAB96EC3}"/>
    <cellStyle name="20% - Accent1 2 2 2" xfId="540" xr:uid="{64AE7524-BE8A-432B-AE64-988C2A5C223B}"/>
    <cellStyle name="20% - Accent1 2 3" xfId="435" xr:uid="{2D1A125C-0E25-4CBC-90DC-12C96E9A9655}"/>
    <cellStyle name="20% - Accent1 3" xfId="69" xr:uid="{1C585697-C8E7-4DF9-B147-D1F657B55E02}"/>
    <cellStyle name="20% - Accent1 3 2" xfId="294" xr:uid="{6C342E66-274E-432B-81E3-C1A877B5466C}"/>
    <cellStyle name="20% - Accent1 3 2 2" xfId="532" xr:uid="{5772DECE-5E7F-4C0E-9214-EBD0F721649D}"/>
    <cellStyle name="20% - Accent1 3 3" xfId="419" xr:uid="{3B47B095-9F66-4A2D-B8B6-DE0F5E54692C}"/>
    <cellStyle name="20% - Accent1 4" xfId="21" xr:uid="{70F973A5-C337-4B9F-BB2E-F9C18DEBC516}"/>
    <cellStyle name="20% - Accent1 4 2" xfId="403" xr:uid="{8829FF6E-1AE4-4F5A-B0E5-C6E179789F4B}"/>
    <cellStyle name="20% - Accent2 2" xfId="117" xr:uid="{FB3D9A8D-905C-4AEE-A29D-FF9F7F8BADD8}"/>
    <cellStyle name="20% - Accent2 2 2" xfId="304" xr:uid="{E762E305-D9AF-4003-B9B4-A6602884A609}"/>
    <cellStyle name="20% - Accent2 2 2 2" xfId="541" xr:uid="{399767DD-0B87-4B14-BCF8-C53EC1BE07AE}"/>
    <cellStyle name="20% - Accent2 2 3" xfId="436" xr:uid="{7DB58458-C587-4015-84A5-B92EDFA3BEAB}"/>
    <cellStyle name="20% - Accent2 3" xfId="70" xr:uid="{1EC1AB87-544C-4AF1-8B74-E22A878F3D18}"/>
    <cellStyle name="20% - Accent2 3 2" xfId="289" xr:uid="{2B4AB9D1-1E11-48E8-BF3A-D2E86F1F4E76}"/>
    <cellStyle name="20% - Accent2 3 2 2" xfId="527" xr:uid="{31FD16CF-AE53-45C5-8B9E-6C610933BA81}"/>
    <cellStyle name="20% - Accent2 3 3" xfId="420" xr:uid="{25C83489-7609-43DA-8E61-D7B696B60A65}"/>
    <cellStyle name="20% - Accent2 4" xfId="22" xr:uid="{44FC7DDB-D465-40BA-AD0E-E426B096D46C}"/>
    <cellStyle name="20% - Accent2 4 2" xfId="404" xr:uid="{D4492902-51D0-4F7C-A6CF-2795984D351D}"/>
    <cellStyle name="20% - Accent3 2" xfId="118" xr:uid="{1B6FA8A7-1B04-43A4-B4FE-FD3ECA93A871}"/>
    <cellStyle name="20% - Accent3 2 2" xfId="305" xr:uid="{9C6E7352-94A6-4AE0-8767-1213CAB66C03}"/>
    <cellStyle name="20% - Accent3 2 2 2" xfId="542" xr:uid="{0BF2E01D-0C31-48B9-8B79-4520D08C061D}"/>
    <cellStyle name="20% - Accent3 2 3" xfId="437" xr:uid="{27AD7A44-ABA4-4B95-B4F5-90161B2B4595}"/>
    <cellStyle name="20% - Accent3 3" xfId="71" xr:uid="{04392CDF-5FF3-4424-A65E-63E13B7DC68E}"/>
    <cellStyle name="20% - Accent3 3 2" xfId="295" xr:uid="{9E4EDF03-D461-4FA4-A9FC-96935BFE940B}"/>
    <cellStyle name="20% - Accent3 3 2 2" xfId="533" xr:uid="{5AB22E15-FDF8-46C9-94F2-DD52C86DCF76}"/>
    <cellStyle name="20% - Accent3 3 3" xfId="421" xr:uid="{663469B1-738A-4D77-AC00-1CEAD45D52B7}"/>
    <cellStyle name="20% - Accent3 4" xfId="23" xr:uid="{BB000837-3891-4456-BB93-D4AC26218C87}"/>
    <cellStyle name="20% - Accent3 4 2" xfId="405" xr:uid="{49BC4CC4-D829-458D-A421-65F77AFDA564}"/>
    <cellStyle name="20% - Accent4 2" xfId="119" xr:uid="{653C2C5E-365D-4449-896D-51E42A65F424}"/>
    <cellStyle name="20% - Accent4 2 2" xfId="306" xr:uid="{AC965880-2C3E-4995-96FE-50898BD0FC40}"/>
    <cellStyle name="20% - Accent4 2 2 2" xfId="543" xr:uid="{3A504190-6E49-48BC-BEC6-7869B129AFEA}"/>
    <cellStyle name="20% - Accent4 2 3" xfId="438" xr:uid="{D3F49851-C8A9-41FE-AC72-B65283E70AE8}"/>
    <cellStyle name="20% - Accent4 3" xfId="72" xr:uid="{5726F0BC-184E-4A8F-BB12-070AE5E5CBD1}"/>
    <cellStyle name="20% - Accent4 3 2" xfId="288" xr:uid="{221BB3E6-7F1A-44C4-988A-34CEC1525C87}"/>
    <cellStyle name="20% - Accent4 3 2 2" xfId="526" xr:uid="{78134AE7-5C64-45C3-BA72-50EE6CC5302F}"/>
    <cellStyle name="20% - Accent4 3 3" xfId="422" xr:uid="{502B005C-876D-4842-BB62-C3A7E00A5FC0}"/>
    <cellStyle name="20% - Accent4 4" xfId="24" xr:uid="{A579EBB5-311D-4159-8F40-F8C2B2407C56}"/>
    <cellStyle name="20% - Accent4 4 2" xfId="406" xr:uid="{7BD421A0-59FE-45DE-AC28-0EEE114EBCE3}"/>
    <cellStyle name="20% - Accent5 2" xfId="120" xr:uid="{B105C068-58C2-4549-A552-895D3F97FDBE}"/>
    <cellStyle name="20% - Accent5 2 2" xfId="307" xr:uid="{77C493E6-3EA8-44C2-B1B3-1E55EAB48EF2}"/>
    <cellStyle name="20% - Accent5 2 2 2" xfId="544" xr:uid="{675C2B3F-7F6B-4796-9812-D0C0000769CB}"/>
    <cellStyle name="20% - Accent5 2 3" xfId="439" xr:uid="{CCD36ED2-4923-4DDA-BD97-91D8BEEF843B}"/>
    <cellStyle name="20% - Accent5 3" xfId="73" xr:uid="{BD63A6CE-A7BC-4F73-BCBC-CDAEFBAA6B90}"/>
    <cellStyle name="20% - Accent5 3 2" xfId="297" xr:uid="{DE01B180-F8B2-4215-B4FE-A1FD89673EB4}"/>
    <cellStyle name="20% - Accent5 3 2 2" xfId="535" xr:uid="{148A540C-7EE1-4D63-BC0E-5D6B9FD3E3AD}"/>
    <cellStyle name="20% - Accent5 3 3" xfId="423" xr:uid="{2B13901E-A0D7-4722-AA72-7E60C1110158}"/>
    <cellStyle name="20% - Accent5 4" xfId="25" xr:uid="{82911CC9-7FDC-4B99-950E-511242938048}"/>
    <cellStyle name="20% - Accent5 4 2" xfId="407" xr:uid="{50DF74C3-F638-4B86-8636-D129E734944A}"/>
    <cellStyle name="20% - Accent6 2" xfId="121" xr:uid="{FE03AF9E-278F-403F-8BC9-5DA3FD70CCA6}"/>
    <cellStyle name="20% - Accent6 2 2" xfId="308" xr:uid="{E989613E-9E09-4A14-91B4-8B94F0EAB4E5}"/>
    <cellStyle name="20% - Accent6 2 2 2" xfId="545" xr:uid="{4615A2D4-4C29-475E-ADF8-F82B248BB6A8}"/>
    <cellStyle name="20% - Accent6 2 3" xfId="440" xr:uid="{80998588-6DB5-4FFC-9768-95E882674530}"/>
    <cellStyle name="20% - Accent6 3" xfId="74" xr:uid="{DD5B4C09-5ECF-491A-935B-A663F4E979D3}"/>
    <cellStyle name="20% - Accent6 3 2" xfId="298" xr:uid="{701F1C75-40F1-44B0-AA2D-8EAB712AB8AB}"/>
    <cellStyle name="20% - Accent6 3 2 2" xfId="536" xr:uid="{5F6B8AD3-4EF3-4BAA-B09B-56BE06E17815}"/>
    <cellStyle name="20% - Accent6 3 3" xfId="424" xr:uid="{42EA9DC5-E3DF-433A-84BC-FB733E15CE18}"/>
    <cellStyle name="20% - Accent6 4" xfId="26" xr:uid="{FAC3CC0A-41ED-41CD-AEC6-1F11B7138206}"/>
    <cellStyle name="20% - Accent6 4 2" xfId="408" xr:uid="{C0D1CC35-AD6F-4580-9785-A34DDC977DD4}"/>
    <cellStyle name="40% - Accent1 2" xfId="122" xr:uid="{A2BEC1CB-60D3-4A03-AF26-9891CCB9DB80}"/>
    <cellStyle name="40% - Accent1 2 2" xfId="309" xr:uid="{E844DE83-CC3C-45FA-B3F9-98763187D8DE}"/>
    <cellStyle name="40% - Accent1 2 2 2" xfId="546" xr:uid="{F11B59F4-742D-4643-AC8A-539647CAB235}"/>
    <cellStyle name="40% - Accent1 2 3" xfId="441" xr:uid="{2E50689F-6E04-4F65-BAAB-352604C5BABD}"/>
    <cellStyle name="40% - Accent1 3" xfId="75" xr:uid="{685023C2-029E-4F2B-9B2A-CD772F4CBFE0}"/>
    <cellStyle name="40% - Accent1 3 2" xfId="292" xr:uid="{190F05C7-EA12-4FD7-A2A5-61B1B60A92DA}"/>
    <cellStyle name="40% - Accent1 3 2 2" xfId="530" xr:uid="{38F11657-CF52-4317-AB52-3D1B931D154E}"/>
    <cellStyle name="40% - Accent1 3 3" xfId="425" xr:uid="{A20F6730-280C-44D8-9FF1-97A7C2E39B6F}"/>
    <cellStyle name="40% - Accent1 4" xfId="27" xr:uid="{3D2957B0-F5DF-4668-B0A6-2EF2D23A499A}"/>
    <cellStyle name="40% - Accent1 4 2" xfId="409" xr:uid="{8D30663C-0BE9-4158-B55D-1D6500936201}"/>
    <cellStyle name="40% - Accent2 2" xfId="123" xr:uid="{86588E2F-FF9F-4C8C-B5A9-8DAED51AB80A}"/>
    <cellStyle name="40% - Accent2 2 2" xfId="310" xr:uid="{03EC60E3-E86E-41A6-BC98-FA16E6B07A37}"/>
    <cellStyle name="40% - Accent2 2 2 2" xfId="547" xr:uid="{5500AA71-4A21-439A-82DC-BB4E143BE190}"/>
    <cellStyle name="40% - Accent2 2 3" xfId="442" xr:uid="{125665A0-DCB8-418A-AC83-2004A3234380}"/>
    <cellStyle name="40% - Accent2 3" xfId="76" xr:uid="{CC2942C3-B652-473C-9E0B-A1413172BB21}"/>
    <cellStyle name="40% - Accent2 3 2" xfId="296" xr:uid="{FAE9BEBC-96CE-47A7-8592-29D4764CEE83}"/>
    <cellStyle name="40% - Accent2 3 2 2" xfId="534" xr:uid="{9010978F-3E58-43DA-92CA-4AB3B6EC7BB3}"/>
    <cellStyle name="40% - Accent2 3 3" xfId="426" xr:uid="{77CA60B5-5DC4-4D29-86B8-451566756F8E}"/>
    <cellStyle name="40% - Accent2 4" xfId="28" xr:uid="{C767D8D1-B3D7-498F-AE3B-6A94B0FFAFAB}"/>
    <cellStyle name="40% - Accent2 4 2" xfId="410" xr:uid="{4779D9F5-1CB8-4157-9037-5AC9DE94FD83}"/>
    <cellStyle name="40% - Accent3 2" xfId="124" xr:uid="{229BD249-8DA1-4B1E-BA84-6A971E995706}"/>
    <cellStyle name="40% - Accent3 2 2" xfId="311" xr:uid="{5DA0F98C-B199-46A3-9B9C-24B94FC55691}"/>
    <cellStyle name="40% - Accent3 2 2 2" xfId="548" xr:uid="{E3E4B137-40A4-40C9-99C9-DE92486312A8}"/>
    <cellStyle name="40% - Accent3 2 3" xfId="443" xr:uid="{E8E5FDEB-AA97-4571-843B-60332EBD20B0}"/>
    <cellStyle name="40% - Accent3 3" xfId="77" xr:uid="{08F68671-4A31-4B21-9C7E-5F3E72998043}"/>
    <cellStyle name="40% - Accent3 3 2" xfId="291" xr:uid="{64366818-0C90-4FDE-9AF5-E9F200813C99}"/>
    <cellStyle name="40% - Accent3 3 2 2" xfId="529" xr:uid="{6FA67620-08F6-4974-A77F-238E9035267C}"/>
    <cellStyle name="40% - Accent3 3 3" xfId="427" xr:uid="{BB950752-F619-48E6-8C1C-4F010301E065}"/>
    <cellStyle name="40% - Accent3 4" xfId="29" xr:uid="{4990C31B-E172-46DF-B014-53619B868730}"/>
    <cellStyle name="40% - Accent3 4 2" xfId="411" xr:uid="{49DA68A0-7DF9-4720-A632-1E51AB3A072D}"/>
    <cellStyle name="40% - Accent4 2" xfId="125" xr:uid="{3BF7092D-DA1A-4447-889C-AF6CB1B5573F}"/>
    <cellStyle name="40% - Accent4 2 2" xfId="312" xr:uid="{B9FA4F33-C5F9-4011-AAEB-C86D0DBAD770}"/>
    <cellStyle name="40% - Accent4 2 2 2" xfId="549" xr:uid="{DE4953C9-CDDB-4D92-8DA2-44074972F217}"/>
    <cellStyle name="40% - Accent4 2 3" xfId="444" xr:uid="{6AEB7E97-08FB-41DF-B3EE-F099F8BBE69C}"/>
    <cellStyle name="40% - Accent4 3" xfId="78" xr:uid="{A3D642D1-7F27-4966-8B76-BF31D8FCB902}"/>
    <cellStyle name="40% - Accent4 3 2" xfId="293" xr:uid="{E183398A-01E8-42A6-8274-3DC7F71EA370}"/>
    <cellStyle name="40% - Accent4 3 2 2" xfId="531" xr:uid="{696F7BC8-F04E-4D8B-817B-6AFE37B67673}"/>
    <cellStyle name="40% - Accent4 3 3" xfId="428" xr:uid="{3C717704-B164-46F1-8001-1AF976A57253}"/>
    <cellStyle name="40% - Accent4 4" xfId="30" xr:uid="{6BF62F50-7A68-4FBE-9AFC-6504F2FA3FCC}"/>
    <cellStyle name="40% - Accent4 4 2" xfId="412" xr:uid="{05DA19D0-3899-4F86-9C9B-A769AAEB8290}"/>
    <cellStyle name="40% - Accent5 2" xfId="126" xr:uid="{AA442A41-3DCF-4B2E-BCBB-A6B9296E279E}"/>
    <cellStyle name="40% - Accent5 2 2" xfId="313" xr:uid="{14185EAC-25F6-40D4-B458-3EF0EDD2487F}"/>
    <cellStyle name="40% - Accent5 2 2 2" xfId="550" xr:uid="{7DBC8A1B-9310-4E0B-9654-3FF5CA11D84B}"/>
    <cellStyle name="40% - Accent5 2 3" xfId="445" xr:uid="{F3E9299E-E88B-43AE-947B-41354F6BD66C}"/>
    <cellStyle name="40% - Accent5 3" xfId="79" xr:uid="{FBE7D273-557A-488F-81E3-65AEBB894657}"/>
    <cellStyle name="40% - Accent5 3 2" xfId="300" xr:uid="{07FF30AD-56F6-424C-B707-6A6E7182716E}"/>
    <cellStyle name="40% - Accent5 3 2 2" xfId="538" xr:uid="{A77254D1-79BC-4E35-B9D4-CB9BA10A6C0B}"/>
    <cellStyle name="40% - Accent5 3 3" xfId="429" xr:uid="{06F9F138-E5D3-4B11-A4AF-B615C370153C}"/>
    <cellStyle name="40% - Accent5 4" xfId="31" xr:uid="{A75AB72F-5D9F-4B61-A2A8-B50549F96310}"/>
    <cellStyle name="40% - Accent5 4 2" xfId="413" xr:uid="{55922154-CFAB-4C24-B1EE-86E1840E9A7E}"/>
    <cellStyle name="40% - Accent6 2" xfId="127" xr:uid="{6E769226-D85D-441C-AFEE-9CF7283F4C0A}"/>
    <cellStyle name="40% - Accent6 2 2" xfId="314" xr:uid="{102486CC-8FB2-4F22-BC54-D82EF36E62B7}"/>
    <cellStyle name="40% - Accent6 2 2 2" xfId="551" xr:uid="{76E520B4-D5CA-49F2-A2F6-762D7AD80073}"/>
    <cellStyle name="40% - Accent6 2 3" xfId="446" xr:uid="{4DD0958D-2512-4CAF-96EA-95433D4C6725}"/>
    <cellStyle name="40% - Accent6 3" xfId="80" xr:uid="{9B6B20BE-A0FE-493E-8296-641A0A251E69}"/>
    <cellStyle name="40% - Accent6 3 2" xfId="290" xr:uid="{9C159835-4DFA-48F0-B35F-216AD4395FC7}"/>
    <cellStyle name="40% - Accent6 3 2 2" xfId="528" xr:uid="{A6B4D52F-0B57-45C1-AFCA-CB27AF1754A7}"/>
    <cellStyle name="40% - Accent6 3 3" xfId="430" xr:uid="{9D2B000F-1F99-4F57-B579-77539F9B81AA}"/>
    <cellStyle name="40% - Accent6 4" xfId="32" xr:uid="{05DA5578-4C22-47B5-A8F2-91EE350515F1}"/>
    <cellStyle name="40% - Accent6 4 2" xfId="414" xr:uid="{84CA97A9-3D9B-4E22-AF9A-A409D03BFD8F}"/>
    <cellStyle name="60% - Accent1 2" xfId="128" xr:uid="{0A34A5AB-8BB0-4982-B19E-37E7B968745C}"/>
    <cellStyle name="60% - Accent1 3" xfId="81" xr:uid="{22816A4E-B62A-4C09-A4B6-B091D22DAC91}"/>
    <cellStyle name="60% - Accent1 4" xfId="33" xr:uid="{BD8D3E9C-D30D-403C-A604-27F41FDE46C2}"/>
    <cellStyle name="60% - Accent2 2" xfId="129" xr:uid="{3DC60CBD-FF53-4735-AC6E-61F414F9CC9F}"/>
    <cellStyle name="60% - Accent2 3" xfId="82" xr:uid="{A0AF7323-788B-40E3-8F33-F3EFD3637FD4}"/>
    <cellStyle name="60% - Accent2 4" xfId="34" xr:uid="{0FB233E1-5ECB-425F-B08D-09DB3C72F2B6}"/>
    <cellStyle name="60% - Accent3 2" xfId="130" xr:uid="{F270CA37-F551-4CCD-A784-F3DC90248CA5}"/>
    <cellStyle name="60% - Accent3 3" xfId="83" xr:uid="{61321433-880B-4F3B-BEFC-64367D991064}"/>
    <cellStyle name="60% - Accent3 4" xfId="35" xr:uid="{6713FEB9-6F2C-4630-A08E-DA557274887E}"/>
    <cellStyle name="60% - Accent4 2" xfId="131" xr:uid="{3D7C0A3E-F1C3-43BF-8520-DFED9A451D63}"/>
    <cellStyle name="60% - Accent4 3" xfId="84" xr:uid="{F098379A-FD47-46C7-B807-6A97CF161908}"/>
    <cellStyle name="60% - Accent4 4" xfId="36" xr:uid="{861EDD91-4BD9-4198-A524-F814DDC4351B}"/>
    <cellStyle name="60% - Accent5 2" xfId="132" xr:uid="{9EE4A10D-0D7C-469B-9A1E-7631629C7D13}"/>
    <cellStyle name="60% - Accent5 3" xfId="85" xr:uid="{67B304D6-DAB5-47D5-8A90-1FB35253CAF7}"/>
    <cellStyle name="60% - Accent5 4" xfId="37" xr:uid="{AB98618F-E4C4-48CF-8AC9-6FBED07A0566}"/>
    <cellStyle name="60% - Accent6 2" xfId="133" xr:uid="{FC726EAB-D183-4EED-93C6-AA4DD71E8511}"/>
    <cellStyle name="60% - Accent6 3" xfId="86" xr:uid="{3B395948-56D2-44D4-BD47-7BF19507E662}"/>
    <cellStyle name="60% - Accent6 4" xfId="38" xr:uid="{5FD50FBC-D35A-41C3-BA7F-D245F314DA65}"/>
    <cellStyle name="Accent1 2" xfId="134" xr:uid="{E71D44E1-89F3-4909-AAA2-669ED81080EE}"/>
    <cellStyle name="Accent1 3" xfId="87" xr:uid="{D63B484D-B445-408D-A250-468AE0B66431}"/>
    <cellStyle name="Accent1 4" xfId="39" xr:uid="{2654A814-8CC6-4D84-A9C9-0DB40F421DC4}"/>
    <cellStyle name="Accent2 2" xfId="135" xr:uid="{D67A93A8-CE51-4A4B-9919-6F277DED9E14}"/>
    <cellStyle name="Accent2 3" xfId="88" xr:uid="{3B75B7CB-D085-41BE-97B9-0740F096836A}"/>
    <cellStyle name="Accent2 4" xfId="40" xr:uid="{81976FC7-83B1-4FFB-9AFB-1A1F4F705D6D}"/>
    <cellStyle name="Accent3 2" xfId="136" xr:uid="{9A81FBC8-8F0D-4B1A-84EC-AB39BEA0082A}"/>
    <cellStyle name="Accent3 3" xfId="89" xr:uid="{1D2D118B-927C-4128-9590-3994AC3E3CCD}"/>
    <cellStyle name="Accent3 4" xfId="41" xr:uid="{27DD0BE0-0D3B-4D1F-B1D7-DA193439F891}"/>
    <cellStyle name="Accent4 2" xfId="137" xr:uid="{E3F1A0E3-DA0B-461A-9BC2-1C542D4E3C1A}"/>
    <cellStyle name="Accent4 3" xfId="90" xr:uid="{8B690350-EFD3-4B1D-9B99-418EBFAFC336}"/>
    <cellStyle name="Accent4 4" xfId="42" xr:uid="{91475E78-8133-4A29-BB8F-8B5A88E51B3D}"/>
    <cellStyle name="Accent5 2" xfId="138" xr:uid="{EA62217C-C7F9-442D-9BB4-415CBC261B42}"/>
    <cellStyle name="Accent5 3" xfId="91" xr:uid="{E875EA59-F822-40F4-9C93-D69C91BD51A4}"/>
    <cellStyle name="Accent5 4" xfId="43" xr:uid="{FCAF00AB-E13F-4661-AE6A-678486D19F7C}"/>
    <cellStyle name="Accent6 2" xfId="139" xr:uid="{051D1CE6-2085-406D-BF81-9AD2A223A542}"/>
    <cellStyle name="Accent6 3" xfId="92" xr:uid="{6512C0DA-5DC5-4657-8844-0542FAF685AB}"/>
    <cellStyle name="Accent6 4" xfId="44" xr:uid="{9D89704E-898E-46BE-96E4-8E3618E89F1C}"/>
    <cellStyle name="Bad 2" xfId="140" xr:uid="{A7A97CA6-4795-4654-BF25-459CCAA4CFF8}"/>
    <cellStyle name="Bad 3" xfId="93" xr:uid="{E57E92BA-957D-433C-BFF5-E74B683E82CC}"/>
    <cellStyle name="Bad 4" xfId="45" xr:uid="{6B7085DC-8E51-4207-9A97-073A4BD981E2}"/>
    <cellStyle name="Calculation 2" xfId="141" xr:uid="{EFD044D0-8E43-41F8-BB65-F63F2ACE156B}"/>
    <cellStyle name="Calculation 3" xfId="94" xr:uid="{8130FC85-4383-4FCD-B3EF-1289E677DB24}"/>
    <cellStyle name="Calculation 4" xfId="46" xr:uid="{7E0F2D2E-5CFD-4A50-A5DE-9C2247E10607}"/>
    <cellStyle name="Check Cell 2" xfId="142" xr:uid="{E28C7957-D0E7-40C8-957D-16B37B3DDF88}"/>
    <cellStyle name="Check Cell 3" xfId="95" xr:uid="{D4754AB5-4CD1-48A7-A51C-6842CEE3578E}"/>
    <cellStyle name="Check Cell 4" xfId="47" xr:uid="{3284AAFE-8F65-4F48-A9E1-BF3DFA10281F}"/>
    <cellStyle name="Comma [0]" xfId="5" builtinId="6"/>
    <cellStyle name="Comma [0] 2" xfId="266" xr:uid="{5564CB05-5BBB-4394-A49C-F61396DAE14A}"/>
    <cellStyle name="Comma [0] 2 2" xfId="301" xr:uid="{86B20AF4-4A9B-40B4-9016-9BB3018A599C}"/>
    <cellStyle name="Comma [0] 2 2 2" xfId="539" xr:uid="{C0008722-0745-4FD5-AFB8-2AA3BA2962A3}"/>
    <cellStyle name="Comma [0] 2 2 2 2" xfId="820" xr:uid="{1A839774-E1A7-4BB9-BCFC-1FB2F30271AB}"/>
    <cellStyle name="Comma [0] 2 2 2 3" xfId="1081" xr:uid="{52709F04-9358-4EC1-8862-DFEAC9E908C1}"/>
    <cellStyle name="Comma [0] 2 2 2 4" xfId="1347" xr:uid="{3E67DF45-0CB9-4773-BF0D-8F99DC5A2AFB}"/>
    <cellStyle name="Comma [0] 2 2 2 5" xfId="1609" xr:uid="{9479C425-70E5-4167-9FEE-E309EC943BC4}"/>
    <cellStyle name="Comma [0] 2 2 2 6" xfId="1875" xr:uid="{DDA2A740-A4CF-4A4C-A6DA-DDB9D406D7BB}"/>
    <cellStyle name="Comma [0] 2 2 3" xfId="691" xr:uid="{09A62588-5929-4B4B-BB0C-F56F074D60FD}"/>
    <cellStyle name="Comma [0] 2 2 4" xfId="952" xr:uid="{B49A61E9-A1B7-4DDB-8269-69436CF04969}"/>
    <cellStyle name="Comma [0] 2 2 5" xfId="1218" xr:uid="{9469D8C6-E014-43A1-A7DF-FBE0749BF00A}"/>
    <cellStyle name="Comma [0] 2 2 6" xfId="1480" xr:uid="{9346CCA4-5CAA-499E-89AB-E978CC36D2A9}"/>
    <cellStyle name="Comma [0] 2 2 7" xfId="1746" xr:uid="{2F455EA3-1884-4150-BCDA-E658575AF853}"/>
    <cellStyle name="Comma [0] 2 3" xfId="511" xr:uid="{BA048ADE-A7C3-459D-BE27-2F847F4062AC}"/>
    <cellStyle name="Comma [0] 2 3 2" xfId="809" xr:uid="{4BE513BA-13A4-4D90-B250-845001ABC149}"/>
    <cellStyle name="Comma [0] 2 3 3" xfId="1070" xr:uid="{67B6DE6B-EBAA-4B81-B20F-A45A753C3592}"/>
    <cellStyle name="Comma [0] 2 3 4" xfId="1336" xr:uid="{ECF6A42C-BF23-4DB8-BCCA-C410AE31EDB6}"/>
    <cellStyle name="Comma [0] 2 3 5" xfId="1598" xr:uid="{63F07953-7D6B-4E43-BBA8-C743FB88B93D}"/>
    <cellStyle name="Comma [0] 2 3 6" xfId="1864" xr:uid="{BA454BD5-550F-46C7-8D25-0FDD58AD5A63}"/>
    <cellStyle name="Comma [0] 2 4" xfId="680" xr:uid="{769810BA-8A6C-4C9C-B748-4562C0F7B562}"/>
    <cellStyle name="Comma [0] 2 5" xfId="941" xr:uid="{CDC91DB4-1588-4B61-A9C7-7325B9ABDD1D}"/>
    <cellStyle name="Comma [0] 2 6" xfId="1207" xr:uid="{4B38C663-69AE-4478-B7EE-B97400D558AD}"/>
    <cellStyle name="Comma [0] 2 7" xfId="1469" xr:uid="{C7255247-0911-4959-90DA-D797FFE760AB}"/>
    <cellStyle name="Comma [0] 2 8" xfId="1735" xr:uid="{EF77B91B-FCFE-4556-AC5E-E92CF43FF13B}"/>
    <cellStyle name="Comma [0] 3" xfId="355" xr:uid="{40E810F3-4E6C-4CB6-A714-CD615992D640}"/>
    <cellStyle name="Comma [0] 3 2" xfId="586" xr:uid="{4C0AC2CF-59F1-49D8-9870-629AE29614C9}"/>
    <cellStyle name="Comma [0] 3 2 2" xfId="850" xr:uid="{1E89C248-2B8F-4719-BE48-A848FC1F5FE9}"/>
    <cellStyle name="Comma [0] 3 2 3" xfId="1111" xr:uid="{58FB6FE0-78AD-4DD4-BB2B-089B73C956B6}"/>
    <cellStyle name="Comma [0] 3 2 4" xfId="1377" xr:uid="{326FDEE8-18ED-4C07-9CEC-8C664F5C58BB}"/>
    <cellStyle name="Comma [0] 3 2 5" xfId="1639" xr:uid="{E1D4D62F-11C9-45B3-BA54-610ADCD1ACC2}"/>
    <cellStyle name="Comma [0] 3 2 6" xfId="1905" xr:uid="{E5030634-99F9-46DF-B3C6-2396F519DC83}"/>
    <cellStyle name="Comma [0] 3 3" xfId="721" xr:uid="{C9303CDE-55F0-471A-A779-C2D421E8B5F6}"/>
    <cellStyle name="Comma [0] 3 4" xfId="982" xr:uid="{36E3B996-FD96-4702-A72E-68E6C6B0069C}"/>
    <cellStyle name="Comma [0] 3 5" xfId="1248" xr:uid="{A25FA5F9-9009-44EC-B046-9C303C5FDE35}"/>
    <cellStyle name="Comma [0] 3 6" xfId="1510" xr:uid="{4F003E4C-E3A3-4006-9388-4942B8E35E6A}"/>
    <cellStyle name="Comma [0] 3 7" xfId="1776" xr:uid="{6560F837-8C98-44A2-B395-EAB31F4F14EF}"/>
    <cellStyle name="Comma [0] 4" xfId="396" xr:uid="{0AA96195-74E9-4841-87AE-07B4F6A2C8CA}"/>
    <cellStyle name="Comma [0] 4 2" xfId="622" xr:uid="{BA73DE6C-5F9E-4CBA-B5AC-8B9B5BC3B7D3}"/>
    <cellStyle name="Comma [0] 4 2 2" xfId="886" xr:uid="{732F4458-0CF8-4859-B20D-A2F7DB9C2904}"/>
    <cellStyle name="Comma [0] 4 2 3" xfId="1147" xr:uid="{458FE145-B10E-4537-B454-569F871C65F1}"/>
    <cellStyle name="Comma [0] 4 2 4" xfId="1413" xr:uid="{AA0CD5BB-9622-4A2C-89C3-BD6427448B51}"/>
    <cellStyle name="Comma [0] 4 2 5" xfId="1675" xr:uid="{5CE5049B-1A6D-4294-AEE3-3BB91031B0FC}"/>
    <cellStyle name="Comma [0] 4 2 6" xfId="1941" xr:uid="{1CD05BE9-4C76-4D05-B460-D2BB6CE26E6E}"/>
    <cellStyle name="Comma [0] 4 3" xfId="757" xr:uid="{B2D30ABC-3908-4B73-A8A1-7FC28352F18A}"/>
    <cellStyle name="Comma [0] 4 4" xfId="1018" xr:uid="{8D802641-A79A-410C-9D28-AAE4769A26A7}"/>
    <cellStyle name="Comma [0] 4 5" xfId="1284" xr:uid="{204A3654-B0C7-4027-9566-9C9A4504D8D0}"/>
    <cellStyle name="Comma [0] 4 6" xfId="1546" xr:uid="{CC163829-7AE2-4189-B5F0-9DC11216AC77}"/>
    <cellStyle name="Comma [0] 4 7" xfId="1812" xr:uid="{4A4D2043-5EC9-4FBE-A727-59D313330A25}"/>
    <cellStyle name="Comma [0] 5" xfId="395" xr:uid="{30926D66-0ED6-442D-BB1B-49E483037238}"/>
    <cellStyle name="Comma [0] 5 2" xfId="621" xr:uid="{44D07848-3DAF-434B-9D8A-2466E2D3BCC6}"/>
    <cellStyle name="Comma [0] 5 2 2" xfId="885" xr:uid="{7F1B11F1-D8BC-4626-B41C-603DD12D6BC2}"/>
    <cellStyle name="Comma [0] 5 2 3" xfId="1146" xr:uid="{98F770B8-0F8D-4825-84AD-7A56F2625D99}"/>
    <cellStyle name="Comma [0] 5 2 4" xfId="1412" xr:uid="{DFCDF38E-B60D-4434-A538-9A397CA8A2F7}"/>
    <cellStyle name="Comma [0] 5 2 5" xfId="1674" xr:uid="{883FFF05-8910-46C2-9358-8B292D85D0E3}"/>
    <cellStyle name="Comma [0] 5 2 6" xfId="1940" xr:uid="{1106E3B6-ACED-478E-9D9E-F43BEF0910FF}"/>
    <cellStyle name="Comma [0] 5 3" xfId="756" xr:uid="{2514C06E-425E-4636-846A-8AEAE13A78EB}"/>
    <cellStyle name="Comma [0] 5 4" xfId="1017" xr:uid="{24350CA5-A78E-4D0E-B4D9-DBB95FD96583}"/>
    <cellStyle name="Comma [0] 5 5" xfId="1283" xr:uid="{C8BFF1C3-59EE-4E4B-9887-A95E51DFB948}"/>
    <cellStyle name="Comma [0] 5 6" xfId="1545" xr:uid="{E7F0899B-D314-490E-9A9B-9ED2B6DEDDFB}"/>
    <cellStyle name="Comma [0] 5 7" xfId="1811" xr:uid="{88507A6A-99E5-433D-8C31-754A05723AEB}"/>
    <cellStyle name="Comma [0] 6" xfId="169" xr:uid="{F2CC1AD7-3923-4A84-BE0B-917AE9A56673}"/>
    <cellStyle name="Comma [0] 6 2" xfId="641" xr:uid="{3120DA1A-A3C9-4C12-88F8-6A09AFCD1AC4}"/>
    <cellStyle name="Comma [0] 6 3" xfId="902" xr:uid="{64485226-4673-4432-9754-6DC189482F24}"/>
    <cellStyle name="Comma [0] 6 4" xfId="1168" xr:uid="{18C05A60-3CBE-4F6D-AF91-173037629449}"/>
    <cellStyle name="Comma [0] 6 5" xfId="1430" xr:uid="{88B5CE96-9EA4-446E-A749-18FE0F5CBFE1}"/>
    <cellStyle name="Comma [0] 6 6" xfId="1696" xr:uid="{4B131B1F-F21A-4CE4-9D71-9F18A4683730}"/>
    <cellStyle name="Comma 10" xfId="176" xr:uid="{3360DF86-D48C-4557-936E-C6FD0D01F32E}"/>
    <cellStyle name="Comma 10 2" xfId="456" xr:uid="{FB8A03E7-C9E5-4717-94DD-2E76B2376E42}"/>
    <cellStyle name="Comma 10 2 2" xfId="772" xr:uid="{EB943B7C-F75B-4715-A423-35DD3B32AEA3}"/>
    <cellStyle name="Comma 10 2 3" xfId="1033" xr:uid="{02219B78-3BFC-4B33-9A19-FCD39C508001}"/>
    <cellStyle name="Comma 10 2 4" xfId="1299" xr:uid="{9EBB5BDA-3842-44C7-9E93-7AFF61C9D0C9}"/>
    <cellStyle name="Comma 10 2 5" xfId="1561" xr:uid="{8284914E-5C4E-4FE6-9CE3-73808BB08FB2}"/>
    <cellStyle name="Comma 10 2 6" xfId="1827" xr:uid="{E9E4EF8F-51FD-41ED-89DF-0938E1591824}"/>
    <cellStyle name="Comma 10 3" xfId="643" xr:uid="{7118AD20-DEAC-4F00-A70B-DD1BC64EC75B}"/>
    <cellStyle name="Comma 10 4" xfId="904" xr:uid="{BBB94B2D-DFE2-43C7-AFF9-688FFFE664FC}"/>
    <cellStyle name="Comma 10 5" xfId="1170" xr:uid="{2BB733EC-3DAB-4F9C-B728-6B4AA0984A78}"/>
    <cellStyle name="Comma 10 6" xfId="1432" xr:uid="{66FAEC87-4AAC-492B-AECF-28197A30A305}"/>
    <cellStyle name="Comma 10 7" xfId="1698" xr:uid="{5D54D416-DE14-44EF-ACF2-09243509BFDC}"/>
    <cellStyle name="Comma 11" xfId="14" xr:uid="{4E2B48CF-D110-4620-9F2F-815FDD31DC80}"/>
    <cellStyle name="Comma 11 2" xfId="628" xr:uid="{E5876A58-8A4B-4B6F-B8FB-01BFB5631061}"/>
    <cellStyle name="Comma 11 3" xfId="889" xr:uid="{223E65C6-CFA0-4FB3-B391-618587747DD7}"/>
    <cellStyle name="Comma 11 4" xfId="1155" xr:uid="{74BD470F-CFB3-4EB8-A9FA-751028BE27EC}"/>
    <cellStyle name="Comma 11 5" xfId="1417" xr:uid="{64CF85F6-41F7-4353-A014-A3FB71AA6C9A}"/>
    <cellStyle name="Comma 11 6" xfId="1683" xr:uid="{29663453-C214-4D6B-B5DC-C8C23EC53E6B}"/>
    <cellStyle name="Comma 2" xfId="18" xr:uid="{E724E7D9-E6D3-43E0-8EE8-C8E6BCF261FD}"/>
    <cellStyle name="Comma 2 10" xfId="173" xr:uid="{0A30E5B7-BBDF-4C0D-8FF8-3DBF53FC9E2D}"/>
    <cellStyle name="Comma 2 10 2" xfId="369" xr:uid="{6F33D1AF-CADB-4F95-8553-6756A02C299B}"/>
    <cellStyle name="Comma 2 10 2 2" xfId="596" xr:uid="{624E30B0-FC01-49B5-9694-762E6BF80EAC}"/>
    <cellStyle name="Comma 2 10 2 2 2" xfId="860" xr:uid="{278CF30F-4C33-403D-B18F-88A24ED3E40B}"/>
    <cellStyle name="Comma 2 10 2 2 3" xfId="1121" xr:uid="{2132AE43-5B40-45A6-9146-319EC1FF1FBC}"/>
    <cellStyle name="Comma 2 10 2 2 4" xfId="1387" xr:uid="{A4B81510-D886-4315-8273-EE3E577504E7}"/>
    <cellStyle name="Comma 2 10 2 2 5" xfId="1649" xr:uid="{9835FC9D-38AF-4791-AAB3-1815F1D558C7}"/>
    <cellStyle name="Comma 2 10 2 2 6" xfId="1915" xr:uid="{672D219F-32C1-4426-AD72-23950097FC79}"/>
    <cellStyle name="Comma 2 10 2 3" xfId="731" xr:uid="{C4396AAE-7919-424A-B12A-8206350C664D}"/>
    <cellStyle name="Comma 2 10 2 4" xfId="992" xr:uid="{A6073969-66ED-47EF-9954-5C9D877A0B1A}"/>
    <cellStyle name="Comma 2 10 2 5" xfId="1258" xr:uid="{FEDFAB50-BB4F-44F8-8C21-B41F65E1AB52}"/>
    <cellStyle name="Comma 2 10 2 6" xfId="1520" xr:uid="{A39835B1-07B5-41E1-9AAF-6E8BA7D1935D}"/>
    <cellStyle name="Comma 2 10 2 7" xfId="1786" xr:uid="{658073B7-F38A-4FC4-A19E-A32198FB06AA}"/>
    <cellStyle name="Comma 2 10 3" xfId="399" xr:uid="{489A2901-E357-4987-96E0-087701B489D9}"/>
    <cellStyle name="Comma 2 10 3 2" xfId="624" xr:uid="{FD34E435-CA1D-4A34-BC9D-B43A46D07173}"/>
    <cellStyle name="Comma 2 10 3 2 2" xfId="888" xr:uid="{2FCB9BE8-1EC3-4A38-B4A1-047460926FFF}"/>
    <cellStyle name="Comma 2 10 3 2 3" xfId="1149" xr:uid="{6D64C040-2A3B-46DA-AADA-46E7BF4948DE}"/>
    <cellStyle name="Comma 2 10 3 2 4" xfId="1415" xr:uid="{51F2BAB9-0079-466C-A7D4-FF58F4E4FD4F}"/>
    <cellStyle name="Comma 2 10 3 2 5" xfId="1677" xr:uid="{62F2654B-C512-407D-B826-D1317CE13EEB}"/>
    <cellStyle name="Comma 2 10 3 2 6" xfId="1943" xr:uid="{B4E68D19-0E53-4FCF-B3C5-C6B331589C7F}"/>
    <cellStyle name="Comma 2 10 3 3" xfId="759" xr:uid="{0B2F5F79-A365-4045-9B2A-264F58455B67}"/>
    <cellStyle name="Comma 2 10 3 4" xfId="1020" xr:uid="{BEF8B9F8-75E9-4B92-AE5A-F33CE2D5D266}"/>
    <cellStyle name="Comma 2 10 3 5" xfId="1286" xr:uid="{56EE492A-5BF3-4EF3-89DE-4A48C86B1AA1}"/>
    <cellStyle name="Comma 2 10 3 6" xfId="1548" xr:uid="{20AFCFDE-8395-4736-A89E-0568CAB1319F}"/>
    <cellStyle name="Comma 2 10 3 7" xfId="1814" xr:uid="{BCFD896C-F5F3-4C21-820F-088C73BC1220}"/>
    <cellStyle name="Comma 2 10 4" xfId="276" xr:uid="{260A8E7B-80A4-4530-9083-0E4366C30865}"/>
    <cellStyle name="Comma 2 10 4 2" xfId="514" xr:uid="{EC161D18-24A9-4A01-AADA-D4595C4B4719}"/>
    <cellStyle name="Comma 2 10 4 2 2" xfId="812" xr:uid="{DF3E90C9-13C1-4C53-B1C9-BE20F7FABBF0}"/>
    <cellStyle name="Comma 2 10 4 2 3" xfId="1073" xr:uid="{FB25F6B2-7009-45D5-AB07-6F95D3A7062D}"/>
    <cellStyle name="Comma 2 10 4 2 4" xfId="1339" xr:uid="{C8F1400E-8C82-434C-813A-EE4B13C3C1A4}"/>
    <cellStyle name="Comma 2 10 4 2 5" xfId="1601" xr:uid="{93CB867E-975D-4B30-8B39-53F51A5850AA}"/>
    <cellStyle name="Comma 2 10 4 2 6" xfId="1867" xr:uid="{DB19345F-91F0-46CE-80DF-48AA066E5FB2}"/>
    <cellStyle name="Comma 2 10 4 3" xfId="683" xr:uid="{71AD6D3A-3CC3-429B-9EA3-8DF5A8FFCABA}"/>
    <cellStyle name="Comma 2 10 4 4" xfId="944" xr:uid="{D2D5C4D7-940C-41F8-A4F9-58D95A6965BA}"/>
    <cellStyle name="Comma 2 10 4 5" xfId="1210" xr:uid="{1F31D323-6446-4926-881A-36C80346B570}"/>
    <cellStyle name="Comma 2 10 4 6" xfId="1472" xr:uid="{2C92E8D4-705B-47BA-89B2-75662BAACC4A}"/>
    <cellStyle name="Comma 2 10 4 7" xfId="1738" xr:uid="{A5E1C8F8-8C1B-4B39-929C-22BFB70A7F2E}"/>
    <cellStyle name="Comma 2 10 5" xfId="642" xr:uid="{587D8EA4-4979-41AC-B416-64FDB094A3F2}"/>
    <cellStyle name="Comma 2 10 6" xfId="903" xr:uid="{76CDE3FA-3DA3-46FA-ABAF-897B81C11DED}"/>
    <cellStyle name="Comma 2 10 7" xfId="1169" xr:uid="{34A7AF66-E460-42E8-9077-E076F2328CE6}"/>
    <cellStyle name="Comma 2 10 8" xfId="1431" xr:uid="{04BAF902-18E8-4C30-9C06-348E2AA7C8B3}"/>
    <cellStyle name="Comma 2 10 9" xfId="1697" xr:uid="{BB3B4918-E824-4024-9194-28D1273961BB}"/>
    <cellStyle name="Comma 2 11" xfId="256" xr:uid="{BF005159-60F7-4D70-A28E-D6DD45878F1A}"/>
    <cellStyle name="Comma 2 11 2" xfId="360" xr:uid="{58008033-F842-449F-93CD-0EB3FB936328}"/>
    <cellStyle name="Comma 2 11 2 2" xfId="589" xr:uid="{CFBE3CBE-4831-4095-9E63-455C8FFFA924}"/>
    <cellStyle name="Comma 2 11 2 2 2" xfId="853" xr:uid="{BB3BE3AA-DE41-459A-B5B2-1270E5523769}"/>
    <cellStyle name="Comma 2 11 2 2 3" xfId="1114" xr:uid="{D76F31B7-8C1C-449B-B156-189054D7DB45}"/>
    <cellStyle name="Comma 2 11 2 2 4" xfId="1380" xr:uid="{1DC5ECBF-0790-48CF-AD0C-6AC7221DD655}"/>
    <cellStyle name="Comma 2 11 2 2 5" xfId="1642" xr:uid="{2A2DDD2A-1E6F-4D45-A5FB-AF7AA9A542D1}"/>
    <cellStyle name="Comma 2 11 2 2 6" xfId="1908" xr:uid="{1EC55DE3-EEB7-47A8-86F3-F28692DC92C2}"/>
    <cellStyle name="Comma 2 11 2 3" xfId="724" xr:uid="{AE01E3BD-49E8-41DB-8EA0-0453B238DD88}"/>
    <cellStyle name="Comma 2 11 2 4" xfId="985" xr:uid="{0D7ED225-69F9-42A8-AB8A-C571EC82872C}"/>
    <cellStyle name="Comma 2 11 2 5" xfId="1251" xr:uid="{008277A8-AEEB-410B-A6FB-FED5BE3E1481}"/>
    <cellStyle name="Comma 2 11 2 6" xfId="1513" xr:uid="{8369BDBD-3A26-4993-9F69-086B4F58A136}"/>
    <cellStyle name="Comma 2 11 2 7" xfId="1779" xr:uid="{D7F3AC40-130E-42D6-ADB1-10CF88FEB5CA}"/>
    <cellStyle name="Comma 2 11 3" xfId="502" xr:uid="{E38B62FA-1C5E-490A-AAB5-02D356B7FA49}"/>
    <cellStyle name="Comma 2 11 3 2" xfId="802" xr:uid="{63727C9E-7F66-4A63-B1BF-96D6F62F4B2C}"/>
    <cellStyle name="Comma 2 11 3 3" xfId="1063" xr:uid="{D7CC145B-684C-4F26-976E-EF553409490C}"/>
    <cellStyle name="Comma 2 11 3 4" xfId="1329" xr:uid="{DB2D3821-1082-44C3-9735-0EF3F3805E63}"/>
    <cellStyle name="Comma 2 11 3 5" xfId="1591" xr:uid="{C6BE55AD-FEA2-4724-9CF2-1EB4BF28560B}"/>
    <cellStyle name="Comma 2 11 3 6" xfId="1857" xr:uid="{B4FCB9E0-83A7-4ACC-B1F6-EE962069A0AB}"/>
    <cellStyle name="Comma 2 11 4" xfId="673" xr:uid="{B151BD98-5B36-4BE3-B2E6-7F4D59F0177E}"/>
    <cellStyle name="Comma 2 11 5" xfId="934" xr:uid="{C3F82816-DB46-4F25-B0A3-E36AE0BF5A55}"/>
    <cellStyle name="Comma 2 11 6" xfId="1200" xr:uid="{01EEFA9D-85A0-489A-A866-68FA3E6CB6E3}"/>
    <cellStyle name="Comma 2 11 7" xfId="1462" xr:uid="{BDA9AAF3-9C40-43E0-BFE3-9C592BB8A795}"/>
    <cellStyle name="Comma 2 11 8" xfId="1728" xr:uid="{2F8EB357-7B38-4848-B51A-5195D1ECABD3}"/>
    <cellStyle name="Comma 2 12" xfId="356" xr:uid="{CDB98168-DDCE-41D8-8FD2-32A6B1B3CE37}"/>
    <cellStyle name="Comma 2 12 2" xfId="587" xr:uid="{B745DA66-0905-4956-A832-693A8028B668}"/>
    <cellStyle name="Comma 2 12 2 2" xfId="851" xr:uid="{5720FC49-FD1A-49CC-B36D-055F260075F9}"/>
    <cellStyle name="Comma 2 12 2 3" xfId="1112" xr:uid="{8F0D21C5-8F1D-45A5-9B26-4EF624E2021B}"/>
    <cellStyle name="Comma 2 12 2 4" xfId="1378" xr:uid="{56424ACB-E14E-4C69-9D8D-E9E4D388A866}"/>
    <cellStyle name="Comma 2 12 2 5" xfId="1640" xr:uid="{F244C92B-A1B7-4E9E-A92A-4B64F1FF22A3}"/>
    <cellStyle name="Comma 2 12 2 6" xfId="1906" xr:uid="{07477B58-C8EA-4CCE-A988-715179FFAE39}"/>
    <cellStyle name="Comma 2 12 3" xfId="722" xr:uid="{E83DF563-2968-4533-91A7-3B4F34241857}"/>
    <cellStyle name="Comma 2 12 4" xfId="983" xr:uid="{5329F8F8-E307-4A15-9828-BFC476163B95}"/>
    <cellStyle name="Comma 2 12 5" xfId="1249" xr:uid="{1FA666B8-2930-4535-97F4-39BF5EFC876D}"/>
    <cellStyle name="Comma 2 12 6" xfId="1511" xr:uid="{A7CE0FA4-0A77-4031-BA46-5F018B3A4B13}"/>
    <cellStyle name="Comma 2 12 7" xfId="1777" xr:uid="{1B34F8A0-A464-4409-8B48-DF4502767883}"/>
    <cellStyle name="Comma 2 13" xfId="250" xr:uid="{9FB5DE2B-E16F-477F-AA91-B704C2778C8D}"/>
    <cellStyle name="Comma 2 13 2" xfId="499" xr:uid="{960AD6F6-9B49-4BF4-8F63-EBBA9E156112}"/>
    <cellStyle name="Comma 2 13 2 2" xfId="799" xr:uid="{82E688A6-6FBA-4F56-9D96-88894ADB9311}"/>
    <cellStyle name="Comma 2 13 2 3" xfId="1060" xr:uid="{D5C385D5-50ED-4865-92D7-C536EDC94884}"/>
    <cellStyle name="Comma 2 13 2 4" xfId="1326" xr:uid="{B9C02502-F9C6-4321-9D5E-0734838C64CB}"/>
    <cellStyle name="Comma 2 13 2 5" xfId="1588" xr:uid="{D6F08AD9-7352-46AC-A07B-4FB764F2D350}"/>
    <cellStyle name="Comma 2 13 2 6" xfId="1854" xr:uid="{7F1E805E-9723-461A-B80C-8D04BB7CFA5E}"/>
    <cellStyle name="Comma 2 13 3" xfId="670" xr:uid="{964375CF-C3BE-4AE3-BE23-56207B7C6FEF}"/>
    <cellStyle name="Comma 2 13 4" xfId="931" xr:uid="{FB71B846-B572-4B90-A876-17580B0CF70B}"/>
    <cellStyle name="Comma 2 13 5" xfId="1197" xr:uid="{0FE2EBF5-E759-4357-83C5-D6C3318FAD86}"/>
    <cellStyle name="Comma 2 13 6" xfId="1459" xr:uid="{B37244C9-4044-4D8F-891B-FE22CD9A77D0}"/>
    <cellStyle name="Comma 2 13 7" xfId="1725" xr:uid="{1095DC54-5E95-4BA1-AC20-0FBAF1F073D1}"/>
    <cellStyle name="Comma 2 14" xfId="397" xr:uid="{6DA14F36-2243-408E-A8A5-3AB83592B262}"/>
    <cellStyle name="Comma 2 14 2" xfId="623" xr:uid="{8ADAA815-F48F-4196-A582-C690BA414EBA}"/>
    <cellStyle name="Comma 2 14 2 2" xfId="887" xr:uid="{6469D08D-C952-4C64-B12A-36D9614B99C8}"/>
    <cellStyle name="Comma 2 14 2 3" xfId="1148" xr:uid="{CED928C6-7F4F-45CB-99C9-73C22158D51E}"/>
    <cellStyle name="Comma 2 14 2 4" xfId="1414" xr:uid="{6A92281F-714A-46FC-953B-23BD98D40AAA}"/>
    <cellStyle name="Comma 2 14 2 5" xfId="1676" xr:uid="{7843FCED-4089-4572-B055-A63FD84DF90D}"/>
    <cellStyle name="Comma 2 14 2 6" xfId="1942" xr:uid="{87584450-BA9F-404E-8219-6C553C5C23BF}"/>
    <cellStyle name="Comma 2 14 3" xfId="758" xr:uid="{5C7AED70-84EE-4051-A5C1-331966BF9DF6}"/>
    <cellStyle name="Comma 2 14 4" xfId="1019" xr:uid="{66BD6BF8-2C2B-435D-ABC7-FB7D57C00E93}"/>
    <cellStyle name="Comma 2 14 5" xfId="1285" xr:uid="{6EC69652-FE2B-4C56-A22C-F07E13765BD3}"/>
    <cellStyle name="Comma 2 14 6" xfId="1547" xr:uid="{937D8BEB-9555-4B3B-B4E3-CBE6AF9EF16F}"/>
    <cellStyle name="Comma 2 14 7" xfId="1813" xr:uid="{21161FF0-1D57-400F-9164-78BF4F09D6B1}"/>
    <cellStyle name="Comma 2 15" xfId="401" xr:uid="{D59048CF-C7BC-4A6F-A71C-1462C48058E8}"/>
    <cellStyle name="Comma 2 15 2" xfId="760" xr:uid="{2573503C-C82E-418A-B7E2-DC8DDD85D381}"/>
    <cellStyle name="Comma 2 15 3" xfId="1021" xr:uid="{42E2576F-72E5-4EA3-B97B-1F1CB3D8AE37}"/>
    <cellStyle name="Comma 2 15 4" xfId="1287" xr:uid="{92D9F022-4DA0-4F7B-9855-2B6734E90FB1}"/>
    <cellStyle name="Comma 2 15 5" xfId="1549" xr:uid="{0C34332F-83A8-4459-A2BC-6092141764EC}"/>
    <cellStyle name="Comma 2 15 6" xfId="1815" xr:uid="{12C0BC0D-21D9-4A50-9108-F6C25DB89FFD}"/>
    <cellStyle name="Comma 2 16" xfId="629" xr:uid="{C8CE7D64-1412-49B2-8B10-AAAEE80D5C66}"/>
    <cellStyle name="Comma 2 17" xfId="890" xr:uid="{3FB7E7EB-6C0B-49B6-9182-68A681F02976}"/>
    <cellStyle name="Comma 2 18" xfId="1156" xr:uid="{B47FA1C5-D3FF-43C2-BCB2-2C274F63CB83}"/>
    <cellStyle name="Comma 2 19" xfId="1418" xr:uid="{B3428CE2-90EE-48B3-95AE-D79AF849DFA0}"/>
    <cellStyle name="Comma 2 2" xfId="113" xr:uid="{4EDF3C7C-5378-4C6E-A9D6-15784028D1F2}"/>
    <cellStyle name="Comma 2 2 10" xfId="1161" xr:uid="{EA688955-6F6C-44BE-B4CF-3ECE0F24ACFF}"/>
    <cellStyle name="Comma 2 2 11" xfId="1423" xr:uid="{D00D9250-ABED-4A59-85FE-884CA62E9A09}"/>
    <cellStyle name="Comma 2 2 12" xfId="1689" xr:uid="{E52482AF-0F78-43A9-9D77-7C3810474002}"/>
    <cellStyle name="Comma 2 2 2" xfId="161" xr:uid="{E1859170-82AF-4B36-BB05-A1A488B2E38B}"/>
    <cellStyle name="Comma 2 2 2 10" xfId="1164" xr:uid="{73B9FA31-E754-4218-84D6-2E18AFF25E83}"/>
    <cellStyle name="Comma 2 2 2 11" xfId="1426" xr:uid="{8D8668C8-4FAE-471C-83B8-AD04D67152F7}"/>
    <cellStyle name="Comma 2 2 2 12" xfId="1692" xr:uid="{061EFCD8-547F-4E30-8B1F-B0FBA0732E0D}"/>
    <cellStyle name="Comma 2 2 2 2" xfId="167" xr:uid="{EDE8F460-1A1B-4D68-9ED7-AD822791DB10}"/>
    <cellStyle name="Comma 2 2 2 2 10" xfId="1429" xr:uid="{B96B1712-7677-4992-A3D1-942BD4106588}"/>
    <cellStyle name="Comma 2 2 2 2 11" xfId="1695" xr:uid="{1CF50D69-0B70-487C-BDAD-F2A9A8F3A250}"/>
    <cellStyle name="Comma 2 2 2 2 2" xfId="189" xr:uid="{E29AE2A1-B654-4B8D-9064-0398B8F2336F}"/>
    <cellStyle name="Comma 2 2 2 2 2 10" xfId="909" xr:uid="{664B7212-71F3-4B63-AA97-36CCB2C46378}"/>
    <cellStyle name="Comma 2 2 2 2 2 11" xfId="1175" xr:uid="{0C2F4248-A7FF-4C53-BF56-9968F5C4C57D}"/>
    <cellStyle name="Comma 2 2 2 2 2 12" xfId="1437" xr:uid="{B188CF4C-D9F1-4B64-A02B-749739DA613A}"/>
    <cellStyle name="Comma 2 2 2 2 2 13" xfId="1703" xr:uid="{F7A6DFF4-8AEB-4EF1-9A4E-9A9E0656AB8F}"/>
    <cellStyle name="Comma 2 2 2 2 2 2" xfId="202" xr:uid="{E331277F-3148-44A6-B6CE-7BECD8FCFF2D}"/>
    <cellStyle name="Comma 2 2 2 2 2 2 10" xfId="1440" xr:uid="{3761FA4B-CB92-4FAF-A11C-582C68A888D4}"/>
    <cellStyle name="Comma 2 2 2 2 2 2 11" xfId="1706" xr:uid="{AD6C4563-2FCF-4681-87DF-D54C0253A575}"/>
    <cellStyle name="Comma 2 2 2 2 2 2 2" xfId="204" xr:uid="{F6E81C81-6806-4E25-969C-27102C43F2A9}"/>
    <cellStyle name="Comma 2 2 2 2 2 2 2 2" xfId="392" xr:uid="{FC65EFEA-4EED-4459-B4B7-611D5A08110F}"/>
    <cellStyle name="Comma 2 2 2 2 2 2 2 2 2" xfId="618" xr:uid="{84260660-2619-4FC6-AA2C-94B0E3027C2A}"/>
    <cellStyle name="Comma 2 2 2 2 2 2 2 2 2 2" xfId="882" xr:uid="{F3D0D9D1-B65E-4B06-A3F5-A777E5124C54}"/>
    <cellStyle name="Comma 2 2 2 2 2 2 2 2 2 3" xfId="1143" xr:uid="{1E559210-E9E1-45AE-95BF-BCFD3BE99155}"/>
    <cellStyle name="Comma 2 2 2 2 2 2 2 2 2 4" xfId="1409" xr:uid="{0C69ADA8-2562-4DF9-A7A8-5267FCB7550E}"/>
    <cellStyle name="Comma 2 2 2 2 2 2 2 2 2 5" xfId="1671" xr:uid="{B6FCA934-79D6-4EF6-8C3F-92EFB1C0ED0C}"/>
    <cellStyle name="Comma 2 2 2 2 2 2 2 2 2 6" xfId="1937" xr:uid="{0FF81B50-19D6-4D5B-B31B-0026E971D617}"/>
    <cellStyle name="Comma 2 2 2 2 2 2 2 2 3" xfId="753" xr:uid="{48D83AC4-F652-460D-9DCF-A0B17F912002}"/>
    <cellStyle name="Comma 2 2 2 2 2 2 2 2 4" xfId="1014" xr:uid="{86C33498-82EF-48D6-A6BA-CD9A5D7F6299}"/>
    <cellStyle name="Comma 2 2 2 2 2 2 2 2 5" xfId="1280" xr:uid="{99F89B2C-890F-4554-977B-509DD9D1C162}"/>
    <cellStyle name="Comma 2 2 2 2 2 2 2 2 6" xfId="1542" xr:uid="{83BB4EC5-0D2B-40AD-B713-1663578D148A}"/>
    <cellStyle name="Comma 2 2 2 2 2 2 2 2 7" xfId="1808" xr:uid="{FA1275FC-A581-4402-9CE5-B244FE8006CE}"/>
    <cellStyle name="Comma 2 2 2 2 2 2 2 3" xfId="350" xr:uid="{804CB480-D75A-490D-882B-29EE2C3C5563}"/>
    <cellStyle name="Comma 2 2 2 2 2 2 2 3 2" xfId="581" xr:uid="{63FB0669-B746-4BD6-A06C-A2A78051DDE1}"/>
    <cellStyle name="Comma 2 2 2 2 2 2 2 3 2 2" xfId="845" xr:uid="{89B015A9-9E71-4985-BF69-B96C3D300292}"/>
    <cellStyle name="Comma 2 2 2 2 2 2 2 3 2 3" xfId="1106" xr:uid="{4C698621-497F-4FC2-9D15-78C6A9306582}"/>
    <cellStyle name="Comma 2 2 2 2 2 2 2 3 2 4" xfId="1372" xr:uid="{92D20279-78E2-4A4A-9CBB-9FEA3F6C8354}"/>
    <cellStyle name="Comma 2 2 2 2 2 2 2 3 2 5" xfId="1634" xr:uid="{1DC9E622-7EEA-45DF-87C5-FC55D47C33BB}"/>
    <cellStyle name="Comma 2 2 2 2 2 2 2 3 2 6" xfId="1900" xr:uid="{02F4E488-DA91-4D9C-88AE-01B0DEB5850E}"/>
    <cellStyle name="Comma 2 2 2 2 2 2 2 3 3" xfId="716" xr:uid="{09A02D59-6396-46EB-AC4E-938A5AA91A3F}"/>
    <cellStyle name="Comma 2 2 2 2 2 2 2 3 4" xfId="977" xr:uid="{4D872021-46DE-4705-904D-C538D92C9AFB}"/>
    <cellStyle name="Comma 2 2 2 2 2 2 2 3 5" xfId="1243" xr:uid="{C81FD42E-B719-43CB-887E-F0EE17CDE677}"/>
    <cellStyle name="Comma 2 2 2 2 2 2 2 3 6" xfId="1505" xr:uid="{4A141E60-74E1-4BE4-BA41-0F9798623389}"/>
    <cellStyle name="Comma 2 2 2 2 2 2 2 3 7" xfId="1771" xr:uid="{EA0E8C20-FA93-4EA4-97A6-95A4CBE75E60}"/>
    <cellStyle name="Comma 2 2 2 2 2 2 2 4" xfId="471" xr:uid="{7AB3524F-AE07-4937-A6AE-40643058138F}"/>
    <cellStyle name="Comma 2 2 2 2 2 2 2 4 2" xfId="781" xr:uid="{DBC8236C-D07C-4B5D-91E6-B4F88F1E581F}"/>
    <cellStyle name="Comma 2 2 2 2 2 2 2 4 3" xfId="1042" xr:uid="{D926EDC6-B447-4070-B9F6-2F6898303109}"/>
    <cellStyle name="Comma 2 2 2 2 2 2 2 4 4" xfId="1308" xr:uid="{0B51BEB4-3AA0-4C4E-B3CF-C5A5560D71FB}"/>
    <cellStyle name="Comma 2 2 2 2 2 2 2 4 5" xfId="1570" xr:uid="{5B8088EE-94F5-4A8D-A53E-593FF5E2AAE7}"/>
    <cellStyle name="Comma 2 2 2 2 2 2 2 4 6" xfId="1836" xr:uid="{B9477076-F5F8-4D3B-BB9C-19E9DF87C1C5}"/>
    <cellStyle name="Comma 2 2 2 2 2 2 2 5" xfId="652" xr:uid="{1B869E9E-A517-4D38-B877-20E41702201E}"/>
    <cellStyle name="Comma 2 2 2 2 2 2 2 6" xfId="913" xr:uid="{65F1D6B5-EB22-4A39-B926-88F9C022E681}"/>
    <cellStyle name="Comma 2 2 2 2 2 2 2 7" xfId="1179" xr:uid="{55CC1657-6F4D-4A8A-8506-3F6CD934E661}"/>
    <cellStyle name="Comma 2 2 2 2 2 2 2 8" xfId="1441" xr:uid="{B752F838-8BA3-4F73-9E6B-B6AD21E9CFE4}"/>
    <cellStyle name="Comma 2 2 2 2 2 2 2 9" xfId="1707" xr:uid="{C97EF42A-BDED-4CAF-9548-17A0FBE34382}"/>
    <cellStyle name="Comma 2 2 2 2 2 2 3" xfId="228" xr:uid="{A265F9AD-973B-414E-9211-8F5D2893650B}"/>
    <cellStyle name="Comma 2 2 2 2 2 2 3 2" xfId="380" xr:uid="{42E69BC8-6CB9-4947-B03E-9CF7D1FC9801}"/>
    <cellStyle name="Comma 2 2 2 2 2 2 3 2 2" xfId="606" xr:uid="{AE31029C-27F3-4E7E-AE7C-DA810C105A53}"/>
    <cellStyle name="Comma 2 2 2 2 2 2 3 2 2 2" xfId="870" xr:uid="{DF4FCBE1-2B45-4BB5-BF12-95F53DC5FAC4}"/>
    <cellStyle name="Comma 2 2 2 2 2 2 3 2 2 3" xfId="1131" xr:uid="{364B16AC-9A3F-4FE4-961F-1709ECC32757}"/>
    <cellStyle name="Comma 2 2 2 2 2 2 3 2 2 4" xfId="1397" xr:uid="{843C079C-B00C-41C0-B341-9525F16A80B3}"/>
    <cellStyle name="Comma 2 2 2 2 2 2 3 2 2 5" xfId="1659" xr:uid="{CDB55A82-4B06-4A10-8FAD-E30870FF73B9}"/>
    <cellStyle name="Comma 2 2 2 2 2 2 3 2 2 6" xfId="1925" xr:uid="{AB9FB08C-250F-4A06-B36C-091E836EA6EF}"/>
    <cellStyle name="Comma 2 2 2 2 2 2 3 2 3" xfId="741" xr:uid="{96AFC124-C2B5-4584-88FA-F5F3EC50FC30}"/>
    <cellStyle name="Comma 2 2 2 2 2 2 3 2 4" xfId="1002" xr:uid="{DC1EE559-0476-41B1-BA92-338D92A0780C}"/>
    <cellStyle name="Comma 2 2 2 2 2 2 3 2 5" xfId="1268" xr:uid="{AD560D05-F634-4158-A016-6BD0AF67AB34}"/>
    <cellStyle name="Comma 2 2 2 2 2 2 3 2 6" xfId="1530" xr:uid="{5017C5A7-A3EB-4D24-96A7-63B030459E77}"/>
    <cellStyle name="Comma 2 2 2 2 2 2 3 2 7" xfId="1796" xr:uid="{CA47A71A-0774-47B5-B4F9-0D58A62EE767}"/>
    <cellStyle name="Comma 2 2 2 2 2 2 3 3" xfId="484" xr:uid="{5A7C423A-FBD8-4D77-9479-0789D318D8FC}"/>
    <cellStyle name="Comma 2 2 2 2 2 2 3 3 2" xfId="791" xr:uid="{5B8C381F-1321-45D9-A55A-B92403CE5749}"/>
    <cellStyle name="Comma 2 2 2 2 2 2 3 3 3" xfId="1052" xr:uid="{B6C2504F-655B-4BED-8609-AEACF3AD00E7}"/>
    <cellStyle name="Comma 2 2 2 2 2 2 3 3 4" xfId="1318" xr:uid="{BDC38EAD-E4FE-4533-B761-C6C18A43F532}"/>
    <cellStyle name="Comma 2 2 2 2 2 2 3 3 5" xfId="1580" xr:uid="{AFC5B0D5-7ED1-400D-A933-A5606FEF59DD}"/>
    <cellStyle name="Comma 2 2 2 2 2 2 3 3 6" xfId="1846" xr:uid="{F316D6A8-1E8E-42E1-A9F7-4AC5A8C2F8FC}"/>
    <cellStyle name="Comma 2 2 2 2 2 2 3 4" xfId="662" xr:uid="{DD199766-0E25-463A-B4AB-D90C68CCDF86}"/>
    <cellStyle name="Comma 2 2 2 2 2 2 3 5" xfId="923" xr:uid="{E708ADC5-7610-494A-ABC6-F88DB6BDC809}"/>
    <cellStyle name="Comma 2 2 2 2 2 2 3 6" xfId="1189" xr:uid="{D6B9BDDA-B456-4EA0-959A-B0BA98F16F36}"/>
    <cellStyle name="Comma 2 2 2 2 2 2 3 7" xfId="1451" xr:uid="{12D2B854-FE08-4160-83F7-520AE76DD85F}"/>
    <cellStyle name="Comma 2 2 2 2 2 2 3 8" xfId="1717" xr:uid="{A6F00B29-0BC0-48D2-9524-10494F0B96E0}"/>
    <cellStyle name="Comma 2 2 2 2 2 2 4" xfId="247" xr:uid="{D87EC6A8-BF18-4ABB-B7DD-00E19C560FB9}"/>
    <cellStyle name="Comma 2 2 2 2 2 2 4 2" xfId="498" xr:uid="{B76F5BED-CF01-440C-B630-D470A8CE972A}"/>
    <cellStyle name="Comma 2 2 2 2 2 2 4 2 2" xfId="798" xr:uid="{1DBAC143-4B04-4933-8843-F3AB17DF0F21}"/>
    <cellStyle name="Comma 2 2 2 2 2 2 4 2 3" xfId="1059" xr:uid="{A3359BEC-4A61-467E-8C58-C34D0882A4B1}"/>
    <cellStyle name="Comma 2 2 2 2 2 2 4 2 4" xfId="1325" xr:uid="{03F45390-C110-43C5-B9A6-F83534DE2A30}"/>
    <cellStyle name="Comma 2 2 2 2 2 2 4 2 5" xfId="1587" xr:uid="{5B05A6EB-AC24-4C4F-9BF8-D78150648D18}"/>
    <cellStyle name="Comma 2 2 2 2 2 2 4 2 6" xfId="1853" xr:uid="{1E391732-4FA0-42B4-887D-6D4FE755D310}"/>
    <cellStyle name="Comma 2 2 2 2 2 2 4 3" xfId="669" xr:uid="{9DFF7794-A345-4884-B1EF-3876299E0569}"/>
    <cellStyle name="Comma 2 2 2 2 2 2 4 4" xfId="930" xr:uid="{9F62F02A-6DD3-4763-9548-1E0323EAD35F}"/>
    <cellStyle name="Comma 2 2 2 2 2 2 4 5" xfId="1196" xr:uid="{F9ADBF42-ABA8-48CC-90FB-92758F15A9F7}"/>
    <cellStyle name="Comma 2 2 2 2 2 2 4 6" xfId="1458" xr:uid="{EC2F9E9B-849E-45F0-811D-749E9C391D4C}"/>
    <cellStyle name="Comma 2 2 2 2 2 2 4 7" xfId="1724" xr:uid="{4C47E718-319A-4490-9299-8CE540AC7F36}"/>
    <cellStyle name="Comma 2 2 2 2 2 2 5" xfId="329" xr:uid="{36A5CDB1-4D16-45BA-9DDD-720E3D7F2E74}"/>
    <cellStyle name="Comma 2 2 2 2 2 2 5 2" xfId="561" xr:uid="{DA0CAF2F-77BA-417D-BBC8-508EBF15EAF4}"/>
    <cellStyle name="Comma 2 2 2 2 2 2 5 2 2" xfId="827" xr:uid="{554965A3-DE6E-496A-BC55-18FBBC3C7D4C}"/>
    <cellStyle name="Comma 2 2 2 2 2 2 5 2 3" xfId="1088" xr:uid="{1DA44B4D-571C-43CE-99C1-D983C2C6DC3D}"/>
    <cellStyle name="Comma 2 2 2 2 2 2 5 2 4" xfId="1354" xr:uid="{01A64A41-EC3F-4543-B87B-EFA56E7015F7}"/>
    <cellStyle name="Comma 2 2 2 2 2 2 5 2 5" xfId="1616" xr:uid="{3DA4B0B0-D90C-4311-A467-7B64073A3D4C}"/>
    <cellStyle name="Comma 2 2 2 2 2 2 5 2 6" xfId="1882" xr:uid="{C4B04340-98DC-49A7-91F0-065BA65C1811}"/>
    <cellStyle name="Comma 2 2 2 2 2 2 5 3" xfId="698" xr:uid="{248DA1E4-64A0-42A6-93D8-82FCD39328DA}"/>
    <cellStyle name="Comma 2 2 2 2 2 2 5 4" xfId="959" xr:uid="{8B72AB49-7ADA-41AF-A3BA-A12EB6C2C529}"/>
    <cellStyle name="Comma 2 2 2 2 2 2 5 5" xfId="1225" xr:uid="{4A186DE3-3BFF-495F-B96C-1814FCAC83DA}"/>
    <cellStyle name="Comma 2 2 2 2 2 2 5 6" xfId="1487" xr:uid="{AF3C831C-5B11-402A-8812-8C57072A22C3}"/>
    <cellStyle name="Comma 2 2 2 2 2 2 5 7" xfId="1753" xr:uid="{BA0A846F-6000-4786-8972-E6A2B75EB2DA}"/>
    <cellStyle name="Comma 2 2 2 2 2 2 6" xfId="470" xr:uid="{0706A15E-3CAD-4A80-AD79-F70EA69FED6D}"/>
    <cellStyle name="Comma 2 2 2 2 2 2 6 2" xfId="780" xr:uid="{E5B86E2F-CD34-461B-8573-F8BC9C5A5D46}"/>
    <cellStyle name="Comma 2 2 2 2 2 2 6 3" xfId="1041" xr:uid="{A2C43C40-4EF1-408F-9427-4DD178D1B511}"/>
    <cellStyle name="Comma 2 2 2 2 2 2 6 4" xfId="1307" xr:uid="{B579FDB0-7704-4B12-A0C8-7C21D65C2AEE}"/>
    <cellStyle name="Comma 2 2 2 2 2 2 6 5" xfId="1569" xr:uid="{82AB4888-A54B-43FB-B91D-D0CA6494DC1F}"/>
    <cellStyle name="Comma 2 2 2 2 2 2 6 6" xfId="1835" xr:uid="{2AEA8411-11B9-482F-8CA2-607F7B804A14}"/>
    <cellStyle name="Comma 2 2 2 2 2 2 7" xfId="651" xr:uid="{B4698ABD-F1DE-4501-8560-D00CE2ED0611}"/>
    <cellStyle name="Comma 2 2 2 2 2 2 8" xfId="912" xr:uid="{9011247D-2227-410C-8B1B-1EB3B342C6C0}"/>
    <cellStyle name="Comma 2 2 2 2 2 2 9" xfId="1178" xr:uid="{251BEB03-1DDA-4FC2-9BC7-78DF78342562}"/>
    <cellStyle name="Comma 2 2 2 2 2 3" xfId="227" xr:uid="{90611E1E-928C-4FA4-8E2D-65A5B2EE1BFE}"/>
    <cellStyle name="Comma 2 2 2 2 2 3 2" xfId="385" xr:uid="{0FC07BCE-BB6B-4D7B-927D-4B9B026C5564}"/>
    <cellStyle name="Comma 2 2 2 2 2 3 2 2" xfId="611" xr:uid="{5DEF4747-7505-41C7-84B2-750DF1B96CDE}"/>
    <cellStyle name="Comma 2 2 2 2 2 3 2 2 2" xfId="875" xr:uid="{EBF5EE14-EFB8-43B0-94F0-3EEFB3DD2827}"/>
    <cellStyle name="Comma 2 2 2 2 2 3 2 2 3" xfId="1136" xr:uid="{4A4C9411-4029-42DD-B548-892FFE8C3C94}"/>
    <cellStyle name="Comma 2 2 2 2 2 3 2 2 4" xfId="1402" xr:uid="{2E1B8233-9BB4-4E89-A1C0-1792AAD521EF}"/>
    <cellStyle name="Comma 2 2 2 2 2 3 2 2 5" xfId="1664" xr:uid="{021346A5-BA47-4FBD-B597-7B5629421CF8}"/>
    <cellStyle name="Comma 2 2 2 2 2 3 2 2 6" xfId="1930" xr:uid="{694401DE-C4F1-4D90-A5FC-65764B869005}"/>
    <cellStyle name="Comma 2 2 2 2 2 3 2 3" xfId="746" xr:uid="{E0A11FEA-3FBC-48D1-927B-0693971DA18E}"/>
    <cellStyle name="Comma 2 2 2 2 2 3 2 4" xfId="1007" xr:uid="{6A8369AE-0EC4-4939-991C-F029E93EFCB8}"/>
    <cellStyle name="Comma 2 2 2 2 2 3 2 5" xfId="1273" xr:uid="{F2D460B7-CD19-45A3-B025-7E9279032A23}"/>
    <cellStyle name="Comma 2 2 2 2 2 3 2 6" xfId="1535" xr:uid="{57C0B582-D28B-4AE1-8C6C-5FEB4DE00B90}"/>
    <cellStyle name="Comma 2 2 2 2 2 3 2 7" xfId="1801" xr:uid="{3C41CFDF-B1DC-4912-BA60-D83B41FD2672}"/>
    <cellStyle name="Comma 2 2 2 2 2 3 3" xfId="335" xr:uid="{315BBDD8-D934-4DDE-961D-91C1C199BD44}"/>
    <cellStyle name="Comma 2 2 2 2 2 3 3 2" xfId="566" xr:uid="{C82049D9-0BA0-4EE5-A425-95B3D8EC51CC}"/>
    <cellStyle name="Comma 2 2 2 2 2 3 3 2 2" xfId="832" xr:uid="{C5C936BF-F90F-4F4E-804E-AFD029E6219D}"/>
    <cellStyle name="Comma 2 2 2 2 2 3 3 2 3" xfId="1093" xr:uid="{69FD596E-9C78-41E6-B0E5-18CA27825183}"/>
    <cellStyle name="Comma 2 2 2 2 2 3 3 2 4" xfId="1359" xr:uid="{0E6BF66C-B691-4C47-B2F8-4891CB9EFCD4}"/>
    <cellStyle name="Comma 2 2 2 2 2 3 3 2 5" xfId="1621" xr:uid="{685C585C-660C-477A-873C-7AAC2AA73E44}"/>
    <cellStyle name="Comma 2 2 2 2 2 3 3 2 6" xfId="1887" xr:uid="{147C7DCC-3F44-4324-BE94-BBFC505837E8}"/>
    <cellStyle name="Comma 2 2 2 2 2 3 3 3" xfId="703" xr:uid="{B33984EF-05E3-454C-88DB-6E99CD1A4566}"/>
    <cellStyle name="Comma 2 2 2 2 2 3 3 4" xfId="964" xr:uid="{3BFE344C-A2C7-4D23-82DF-4D551767D8BD}"/>
    <cellStyle name="Comma 2 2 2 2 2 3 3 5" xfId="1230" xr:uid="{D9698C83-0F93-4BED-99D5-A282B18AA136}"/>
    <cellStyle name="Comma 2 2 2 2 2 3 3 6" xfId="1492" xr:uid="{6487256A-8687-4EF4-A22C-7BA45CD08586}"/>
    <cellStyle name="Comma 2 2 2 2 2 3 3 7" xfId="1758" xr:uid="{E6B61B78-32D6-4722-85E4-8648C9AA7978}"/>
    <cellStyle name="Comma 2 2 2 2 2 3 4" xfId="483" xr:uid="{6D1E0F3C-FFD2-49A7-8DC2-196270EAB126}"/>
    <cellStyle name="Comma 2 2 2 2 2 3 4 2" xfId="790" xr:uid="{9C3F4CA2-BB5B-463B-8B19-950E963355BD}"/>
    <cellStyle name="Comma 2 2 2 2 2 3 4 3" xfId="1051" xr:uid="{5F905B44-B79E-4197-96EE-F117FA000A6D}"/>
    <cellStyle name="Comma 2 2 2 2 2 3 4 4" xfId="1317" xr:uid="{C6B1B6DD-5F64-4C08-92B2-48BD525DBCF6}"/>
    <cellStyle name="Comma 2 2 2 2 2 3 4 5" xfId="1579" xr:uid="{BB87F001-D9F0-4C05-9208-A0B13631D997}"/>
    <cellStyle name="Comma 2 2 2 2 2 3 4 6" xfId="1845" xr:uid="{FB69882D-DE3F-4CE2-9815-AA26C6098AFB}"/>
    <cellStyle name="Comma 2 2 2 2 2 3 5" xfId="661" xr:uid="{A8FBAEBD-BAA3-4507-B48C-2C95B4D61944}"/>
    <cellStyle name="Comma 2 2 2 2 2 3 6" xfId="922" xr:uid="{80407FA3-1C03-4AD0-854A-A96B25550880}"/>
    <cellStyle name="Comma 2 2 2 2 2 3 7" xfId="1188" xr:uid="{532B95F7-1A4F-411D-9E41-90C0C2F427EB}"/>
    <cellStyle name="Comma 2 2 2 2 2 3 8" xfId="1450" xr:uid="{50AE79D3-B17C-4299-A6CF-E7AFF3EF98BF}"/>
    <cellStyle name="Comma 2 2 2 2 2 3 9" xfId="1716" xr:uid="{BBABAFCC-D934-4D67-B72C-90D1A6CFCE7E}"/>
    <cellStyle name="Comma 2 2 2 2 2 4" xfId="246" xr:uid="{BFCE5433-6C5D-466B-B46B-35C2DEFE76F1}"/>
    <cellStyle name="Comma 2 2 2 2 2 4 2" xfId="497" xr:uid="{6EEC1CE3-F42E-4AE4-9BEE-E78A1E1FCBA5}"/>
    <cellStyle name="Comma 2 2 2 2 2 4 2 2" xfId="797" xr:uid="{8CEF647D-0886-40F5-B4B2-A13BAAA4898A}"/>
    <cellStyle name="Comma 2 2 2 2 2 4 2 3" xfId="1058" xr:uid="{C9D94D27-2884-4871-88B9-ADBF21BCF345}"/>
    <cellStyle name="Comma 2 2 2 2 2 4 2 4" xfId="1324" xr:uid="{8FB057DB-B615-4050-9298-742B7378F9DB}"/>
    <cellStyle name="Comma 2 2 2 2 2 4 2 5" xfId="1586" xr:uid="{150DAA4A-B6B5-4CCB-BF9D-5B80AACE85FA}"/>
    <cellStyle name="Comma 2 2 2 2 2 4 2 6" xfId="1852" xr:uid="{3FBDA655-51CA-495A-B180-0C910AA48234}"/>
    <cellStyle name="Comma 2 2 2 2 2 4 3" xfId="668" xr:uid="{609FBAE1-0ED1-4FC7-81E4-E873F47876E2}"/>
    <cellStyle name="Comma 2 2 2 2 2 4 4" xfId="929" xr:uid="{5A36BE77-C695-40CF-B00A-D2E3C0F81047}"/>
    <cellStyle name="Comma 2 2 2 2 2 4 5" xfId="1195" xr:uid="{D1D177DA-A240-4D5C-BB31-6065DF84978E}"/>
    <cellStyle name="Comma 2 2 2 2 2 4 6" xfId="1457" xr:uid="{9B16E084-842C-4261-A4DC-BB45DFF39487}"/>
    <cellStyle name="Comma 2 2 2 2 2 4 7" xfId="1723" xr:uid="{CFC0D1F7-B3D3-4203-ADF2-64A024E5B2A1}"/>
    <cellStyle name="Comma 2 2 2 2 2 5" xfId="285" xr:uid="{83BE3F28-9049-4899-8826-720EB41D0340}"/>
    <cellStyle name="Comma 2 2 2 2 2 5 2" xfId="373" xr:uid="{63B04B5B-AF32-4035-848D-7F1152C420B6}"/>
    <cellStyle name="Comma 2 2 2 2 2 5 2 2" xfId="600" xr:uid="{0231FE4C-AE07-48DB-94E8-9726C4F871BA}"/>
    <cellStyle name="Comma 2 2 2 2 2 5 2 2 2" xfId="864" xr:uid="{4643737C-427D-4615-8560-58F0E5F019FE}"/>
    <cellStyle name="Comma 2 2 2 2 2 5 2 2 3" xfId="1125" xr:uid="{EC252172-3033-4B76-9554-4D458D9CC256}"/>
    <cellStyle name="Comma 2 2 2 2 2 5 2 2 4" xfId="1391" xr:uid="{76784898-7E4A-43D3-BDC9-A7B91E58F529}"/>
    <cellStyle name="Comma 2 2 2 2 2 5 2 2 5" xfId="1653" xr:uid="{EBAD40EB-6AE8-43A9-B95D-267860397963}"/>
    <cellStyle name="Comma 2 2 2 2 2 5 2 2 6" xfId="1919" xr:uid="{9BD696CB-E015-4AD3-B9CC-0AF56473A60D}"/>
    <cellStyle name="Comma 2 2 2 2 2 5 2 3" xfId="735" xr:uid="{44C136F1-37B6-46C3-92D5-D906C429F921}"/>
    <cellStyle name="Comma 2 2 2 2 2 5 2 4" xfId="996" xr:uid="{6391E2A7-A48A-4C31-9A83-4A537DF7E97F}"/>
    <cellStyle name="Comma 2 2 2 2 2 5 2 5" xfId="1262" xr:uid="{72681C41-D3F5-4D22-B389-8BBB0D74AB2F}"/>
    <cellStyle name="Comma 2 2 2 2 2 5 2 6" xfId="1524" xr:uid="{026BEE68-809A-4597-B234-12FEAD2F9F2C}"/>
    <cellStyle name="Comma 2 2 2 2 2 5 2 7" xfId="1790" xr:uid="{B07FA81F-0A2C-41A3-982A-3F5C525A23F7}"/>
    <cellStyle name="Comma 2 2 2 2 2 5 3" xfId="523" xr:uid="{6BC07A33-BBF0-4F1C-95A7-698D43378A5D}"/>
    <cellStyle name="Comma 2 2 2 2 2 5 3 2" xfId="817" xr:uid="{C711DE19-E0E6-4FE0-BF43-BE8E2796AF80}"/>
    <cellStyle name="Comma 2 2 2 2 2 5 3 3" xfId="1078" xr:uid="{73CC7D6D-672E-4335-90CC-900A9ED2AA9F}"/>
    <cellStyle name="Comma 2 2 2 2 2 5 3 4" xfId="1344" xr:uid="{CA58EF55-474B-4D0E-8B68-E6F7C2873E1E}"/>
    <cellStyle name="Comma 2 2 2 2 2 5 3 5" xfId="1606" xr:uid="{8F0CD8CA-0A19-43DD-9DFF-C08818CDDBA1}"/>
    <cellStyle name="Comma 2 2 2 2 2 5 3 6" xfId="1872" xr:uid="{7046E50C-8AC1-4D74-B231-86D7BECA07EE}"/>
    <cellStyle name="Comma 2 2 2 2 2 5 4" xfId="688" xr:uid="{D2E682FB-BB38-463F-8F81-2123D35A82C5}"/>
    <cellStyle name="Comma 2 2 2 2 2 5 5" xfId="949" xr:uid="{BB8548F6-8760-4316-8053-CD5D7B507D67}"/>
    <cellStyle name="Comma 2 2 2 2 2 5 6" xfId="1215" xr:uid="{E03D2817-65DA-42BF-8486-DFDD1A74809D}"/>
    <cellStyle name="Comma 2 2 2 2 2 5 7" xfId="1477" xr:uid="{165944B3-4D84-483E-B31D-54F6FF24DBC6}"/>
    <cellStyle name="Comma 2 2 2 2 2 5 8" xfId="1743" xr:uid="{1B78A4BF-5A26-4968-B69B-3C316020BC32}"/>
    <cellStyle name="Comma 2 2 2 2 2 6" xfId="364" xr:uid="{3AC1AE51-4811-48F7-B347-9EE819CCDA7F}"/>
    <cellStyle name="Comma 2 2 2 2 2 6 2" xfId="593" xr:uid="{BE199011-C47A-427F-8788-8D24E921B8CB}"/>
    <cellStyle name="Comma 2 2 2 2 2 6 2 2" xfId="857" xr:uid="{7BC4AC7C-4DAD-4572-A92A-ED43F5F46726}"/>
    <cellStyle name="Comma 2 2 2 2 2 6 2 3" xfId="1118" xr:uid="{0B4ED8EA-4861-460F-ABB5-BE380691643D}"/>
    <cellStyle name="Comma 2 2 2 2 2 6 2 4" xfId="1384" xr:uid="{FB408F61-EC50-4DBF-B015-254ECB9A0897}"/>
    <cellStyle name="Comma 2 2 2 2 2 6 2 5" xfId="1646" xr:uid="{AD990F2D-DE5C-435D-BA87-346882C1CEB3}"/>
    <cellStyle name="Comma 2 2 2 2 2 6 2 6" xfId="1912" xr:uid="{A74DC0D0-1682-410F-B09D-D1A6C8305F0E}"/>
    <cellStyle name="Comma 2 2 2 2 2 6 3" xfId="728" xr:uid="{FB68CD57-B3B6-45F7-ADBE-2C145E2B137F}"/>
    <cellStyle name="Comma 2 2 2 2 2 6 4" xfId="989" xr:uid="{492C1CD8-F18A-4A2F-8650-7E194CDD690F}"/>
    <cellStyle name="Comma 2 2 2 2 2 6 5" xfId="1255" xr:uid="{DB690E5B-CCAE-49AF-9B2F-60CB03007289}"/>
    <cellStyle name="Comma 2 2 2 2 2 6 6" xfId="1517" xr:uid="{36A465E5-46FD-411E-9549-843401E0D817}"/>
    <cellStyle name="Comma 2 2 2 2 2 6 7" xfId="1783" xr:uid="{BD488062-1D87-478D-BCD8-A2EAD2C6C121}"/>
    <cellStyle name="Comma 2 2 2 2 2 7" xfId="262" xr:uid="{46BFD326-8B37-4E53-AD5B-1EDE1BA33EBF}"/>
    <cellStyle name="Comma 2 2 2 2 2 7 2" xfId="508" xr:uid="{B7EA50E7-AE20-447F-B9F0-B05358710B1E}"/>
    <cellStyle name="Comma 2 2 2 2 2 7 2 2" xfId="806" xr:uid="{BFBBAC4F-6A50-47CA-817C-438DB9934F7F}"/>
    <cellStyle name="Comma 2 2 2 2 2 7 2 3" xfId="1067" xr:uid="{F76F418E-A30D-48BD-ADAB-A3DC45A7D1F0}"/>
    <cellStyle name="Comma 2 2 2 2 2 7 2 4" xfId="1333" xr:uid="{20DFA7A7-CF2B-49F1-832D-F5CE67BB8179}"/>
    <cellStyle name="Comma 2 2 2 2 2 7 2 5" xfId="1595" xr:uid="{D56201F6-263A-4C2A-BCCC-992B817C0965}"/>
    <cellStyle name="Comma 2 2 2 2 2 7 2 6" xfId="1861" xr:uid="{85BCF19D-143F-4CFF-AF4C-A39F6526096B}"/>
    <cellStyle name="Comma 2 2 2 2 2 7 3" xfId="677" xr:uid="{1486951F-65C8-4185-ACFC-C630A8CA26A1}"/>
    <cellStyle name="Comma 2 2 2 2 2 7 4" xfId="938" xr:uid="{574A017E-3B20-47F2-9D80-AAB2ADE3C14E}"/>
    <cellStyle name="Comma 2 2 2 2 2 7 5" xfId="1204" xr:uid="{E4F5877A-6A29-4C4D-9404-F3793DA431B6}"/>
    <cellStyle name="Comma 2 2 2 2 2 7 6" xfId="1466" xr:uid="{D6744E77-D1CD-45BC-9C5E-64564BA62FEF}"/>
    <cellStyle name="Comma 2 2 2 2 2 7 7" xfId="1732" xr:uid="{B9AA7818-06FA-4A8D-B67E-D4BC520291DC}"/>
    <cellStyle name="Comma 2 2 2 2 2 8" xfId="463" xr:uid="{9BFE052D-5E76-4869-821E-5DB2D2CF856E}"/>
    <cellStyle name="Comma 2 2 2 2 2 8 2" xfId="777" xr:uid="{59F5C43A-D87B-45C5-9AA4-CFAC7DD24E40}"/>
    <cellStyle name="Comma 2 2 2 2 2 8 3" xfId="1038" xr:uid="{3204FBEB-42ED-4506-94B1-7970E383E75A}"/>
    <cellStyle name="Comma 2 2 2 2 2 8 4" xfId="1304" xr:uid="{B347952A-1137-47D9-B9CE-B57BF770DAE5}"/>
    <cellStyle name="Comma 2 2 2 2 2 8 5" xfId="1566" xr:uid="{075F1EA2-39AD-458B-A11C-4DF3BB9B4AA3}"/>
    <cellStyle name="Comma 2 2 2 2 2 8 6" xfId="1832" xr:uid="{4E0FA66E-2F3E-4A11-8EE2-0FF74B947FB1}"/>
    <cellStyle name="Comma 2 2 2 2 2 9" xfId="648" xr:uid="{E829DA13-7606-4A16-9A5E-4BDF9705189F}"/>
    <cellStyle name="Comma 2 2 2 2 3" xfId="223" xr:uid="{5E7E9A09-9E95-4865-B054-BB2C872BA177}"/>
    <cellStyle name="Comma 2 2 2 2 3 2" xfId="349" xr:uid="{40AF7CC0-B7AB-45D8-8068-FC6BE5C0D80F}"/>
    <cellStyle name="Comma 2 2 2 2 3 2 2" xfId="580" xr:uid="{66D8100F-6C5F-445E-BCDA-90B66E72EC93}"/>
    <cellStyle name="Comma 2 2 2 2 3 2 2 2" xfId="844" xr:uid="{8E39612F-7D53-404F-9A2C-775F6C8101D1}"/>
    <cellStyle name="Comma 2 2 2 2 3 2 2 3" xfId="1105" xr:uid="{F00F27FF-E15F-4C92-AE87-BE2BAB0AC087}"/>
    <cellStyle name="Comma 2 2 2 2 3 2 2 4" xfId="1371" xr:uid="{3D75B568-4088-4642-AFCA-6B2E9189BE23}"/>
    <cellStyle name="Comma 2 2 2 2 3 2 2 5" xfId="1633" xr:uid="{E3F767D7-21A1-4E9C-BB8E-A8C4EB28AD29}"/>
    <cellStyle name="Comma 2 2 2 2 3 2 2 6" xfId="1899" xr:uid="{73A9EEB7-8FA3-409E-AA03-673189BD2D6A}"/>
    <cellStyle name="Comma 2 2 2 2 3 2 3" xfId="715" xr:uid="{41169E67-049B-4B46-A61E-15070EACA316}"/>
    <cellStyle name="Comma 2 2 2 2 3 2 4" xfId="976" xr:uid="{511F55C5-5793-43F8-B589-420CE2A40699}"/>
    <cellStyle name="Comma 2 2 2 2 3 2 5" xfId="1242" xr:uid="{B1F9BB6C-D240-43A5-922C-CDF2CD866BED}"/>
    <cellStyle name="Comma 2 2 2 2 3 2 6" xfId="1504" xr:uid="{5BE88EE8-CCBD-4A56-89FE-E8034F619439}"/>
    <cellStyle name="Comma 2 2 2 2 3 2 7" xfId="1770" xr:uid="{8E97BEC9-6F18-4EDA-898D-A25CD2F6A7B2}"/>
    <cellStyle name="Comma 2 2 2 2 3 3" xfId="481" xr:uid="{EB172DAF-D54A-4C20-8856-AF028D9FB8CE}"/>
    <cellStyle name="Comma 2 2 2 2 3 3 2" xfId="789" xr:uid="{AF7F6150-1BE0-45E5-B557-83AB4200D42B}"/>
    <cellStyle name="Comma 2 2 2 2 3 3 3" xfId="1050" xr:uid="{295C3CB3-4A58-49EC-B03D-5362E64DBF1E}"/>
    <cellStyle name="Comma 2 2 2 2 3 3 4" xfId="1316" xr:uid="{C3FAE99E-DF99-4A3F-B787-26534A33FEF9}"/>
    <cellStyle name="Comma 2 2 2 2 3 3 5" xfId="1578" xr:uid="{BF49FC55-800B-40FF-865F-3AC4710C1F05}"/>
    <cellStyle name="Comma 2 2 2 2 3 3 6" xfId="1844" xr:uid="{4AC6DA17-4B81-4F78-81E4-3E1A60F79521}"/>
    <cellStyle name="Comma 2 2 2 2 3 4" xfId="660" xr:uid="{412882BD-3B2A-436C-B90C-4B4B5EF50C55}"/>
    <cellStyle name="Comma 2 2 2 2 3 5" xfId="921" xr:uid="{672A8AD6-2C25-4CD1-8097-AF7696D6AB17}"/>
    <cellStyle name="Comma 2 2 2 2 3 6" xfId="1187" xr:uid="{0432BBDC-F8A4-493D-8A85-B1031DDD7A4D}"/>
    <cellStyle name="Comma 2 2 2 2 3 7" xfId="1449" xr:uid="{21F5CE23-1CA9-4328-927A-69A4D9899D42}"/>
    <cellStyle name="Comma 2 2 2 2 3 8" xfId="1715" xr:uid="{A0E3AD1F-E215-4A33-BEE8-27093E5CAA76}"/>
    <cellStyle name="Comma 2 2 2 2 4" xfId="238" xr:uid="{E15ADEAB-ACCE-4E74-B579-508DEA7EC534}"/>
    <cellStyle name="Comma 2 2 2 2 4 2" xfId="491" xr:uid="{615C31CD-1187-4357-ADD7-B7A2A67E3BBE}"/>
    <cellStyle name="Comma 2 2 2 2 4 2 2" xfId="795" xr:uid="{98013D6B-6F30-4A06-B2E7-0851F42930DC}"/>
    <cellStyle name="Comma 2 2 2 2 4 2 3" xfId="1056" xr:uid="{DA1326C4-8BA8-4BC6-8F7F-D190B61C4677}"/>
    <cellStyle name="Comma 2 2 2 2 4 2 4" xfId="1322" xr:uid="{52319398-A350-446F-9A74-D9A79DE1BB0F}"/>
    <cellStyle name="Comma 2 2 2 2 4 2 5" xfId="1584" xr:uid="{815AC34E-3846-4C7A-9277-03728A1FAA11}"/>
    <cellStyle name="Comma 2 2 2 2 4 2 6" xfId="1850" xr:uid="{70333CF0-FCEA-466A-BDB6-E9F5430C9C27}"/>
    <cellStyle name="Comma 2 2 2 2 4 3" xfId="666" xr:uid="{0AD48708-659A-4CF6-BFBB-C6721CA9C149}"/>
    <cellStyle name="Comma 2 2 2 2 4 4" xfId="927" xr:uid="{FFF7E3DB-840C-4E50-9292-15F8F77DCFF4}"/>
    <cellStyle name="Comma 2 2 2 2 4 5" xfId="1193" xr:uid="{6B094BE6-7E3D-45CB-B493-21A95BF09918}"/>
    <cellStyle name="Comma 2 2 2 2 4 6" xfId="1455" xr:uid="{9D2E5751-EBD7-441E-A8D0-2903B0E6508D}"/>
    <cellStyle name="Comma 2 2 2 2 4 7" xfId="1721" xr:uid="{07E73134-2003-4422-9DEA-E016B2393BD1}"/>
    <cellStyle name="Comma 2 2 2 2 5" xfId="187" xr:uid="{53C96ABD-AD27-40F1-AD1A-FE54D34622C7}"/>
    <cellStyle name="Comma 2 2 2 2 5 2" xfId="462" xr:uid="{984E9EEB-540F-4869-AF0C-38919D7D87A3}"/>
    <cellStyle name="Comma 2 2 2 2 5 2 2" xfId="776" xr:uid="{066294AF-384D-4F8E-B22C-C7956D32280A}"/>
    <cellStyle name="Comma 2 2 2 2 5 2 3" xfId="1037" xr:uid="{092C80F2-2EB6-43C2-8D07-57D7D69B0E77}"/>
    <cellStyle name="Comma 2 2 2 2 5 2 4" xfId="1303" xr:uid="{8DB2A835-A187-44B1-B40A-BCCF31F74D07}"/>
    <cellStyle name="Comma 2 2 2 2 5 2 5" xfId="1565" xr:uid="{85F8BDEE-9917-4CA1-91AE-437CECFEF412}"/>
    <cellStyle name="Comma 2 2 2 2 5 2 6" xfId="1831" xr:uid="{F7E5A1F1-DDE1-4BA2-8A90-38490F115B11}"/>
    <cellStyle name="Comma 2 2 2 2 5 3" xfId="647" xr:uid="{505B7E63-C1A6-41DC-9B4C-234F05828EA0}"/>
    <cellStyle name="Comma 2 2 2 2 5 4" xfId="908" xr:uid="{EDFF48E3-523F-4197-9B5E-C9BCE7EBE8CC}"/>
    <cellStyle name="Comma 2 2 2 2 5 5" xfId="1174" xr:uid="{A1182E06-562F-47A6-BEEE-0AD33C638E91}"/>
    <cellStyle name="Comma 2 2 2 2 5 6" xfId="1436" xr:uid="{50F8DFEB-7D5C-43AF-94B6-96E10AFEF688}"/>
    <cellStyle name="Comma 2 2 2 2 5 7" xfId="1702" xr:uid="{D5F1E3FE-8F95-4486-BB6A-EA5C0322AF45}"/>
    <cellStyle name="Comma 2 2 2 2 6" xfId="452" xr:uid="{6D829FE0-6676-4290-8FB2-C5E3947E95A3}"/>
    <cellStyle name="Comma 2 2 2 2 6 2" xfId="771" xr:uid="{D3E1A5D8-DDBE-4171-990F-4E26F092F919}"/>
    <cellStyle name="Comma 2 2 2 2 6 3" xfId="1032" xr:uid="{C22EDB8A-D36E-40EB-B419-D00845B15A21}"/>
    <cellStyle name="Comma 2 2 2 2 6 4" xfId="1298" xr:uid="{ECC487AA-EFD1-42BF-BA71-B53E5A19DACE}"/>
    <cellStyle name="Comma 2 2 2 2 6 5" xfId="1560" xr:uid="{E30E4BAF-E82B-4101-B690-19C23D4922F6}"/>
    <cellStyle name="Comma 2 2 2 2 6 6" xfId="1826" xr:uid="{CE918450-CFBB-469C-B1A3-6227A70B328E}"/>
    <cellStyle name="Comma 2 2 2 2 7" xfId="640" xr:uid="{8E85A20A-C9F7-49C1-9ACA-A1F9D647E73E}"/>
    <cellStyle name="Comma 2 2 2 2 8" xfId="901" xr:uid="{CB532ADC-88B4-4C4C-A028-E5D25C9B5AF4}"/>
    <cellStyle name="Comma 2 2 2 2 9" xfId="1167" xr:uid="{CF89CD2D-8847-4CA3-ABEB-058DA0BD9E25}"/>
    <cellStyle name="Comma 2 2 2 3" xfId="222" xr:uid="{A43A3828-5C88-41B4-9814-969656633081}"/>
    <cellStyle name="Comma 2 2 2 3 10" xfId="1714" xr:uid="{1941C425-1217-48F8-9BFB-51B2CA597066}"/>
    <cellStyle name="Comma 2 2 2 3 2" xfId="342" xr:uid="{CCFC1DE8-C637-4382-A77C-ED82D71EC4B7}"/>
    <cellStyle name="Comma 2 2 2 3 2 2" xfId="389" xr:uid="{2BA26444-7C11-4F8D-AC0E-6A0A1B5E9F64}"/>
    <cellStyle name="Comma 2 2 2 3 2 2 2" xfId="615" xr:uid="{F51FBD9E-B736-4E0F-B011-C27E86837D10}"/>
    <cellStyle name="Comma 2 2 2 3 2 2 2 2" xfId="879" xr:uid="{A2B964AA-F29A-44FD-BE7C-FCD6354F06D8}"/>
    <cellStyle name="Comma 2 2 2 3 2 2 2 3" xfId="1140" xr:uid="{609C427D-4DBD-4B04-A2A0-D3D1EC417C04}"/>
    <cellStyle name="Comma 2 2 2 3 2 2 2 4" xfId="1406" xr:uid="{21AD2FB5-7A7D-453D-A58E-DE51E336372B}"/>
    <cellStyle name="Comma 2 2 2 3 2 2 2 5" xfId="1668" xr:uid="{B389C406-E00D-407B-A6E0-2A538DAFE1E0}"/>
    <cellStyle name="Comma 2 2 2 3 2 2 2 6" xfId="1934" xr:uid="{43F73BA7-9F14-446C-AE83-DBF786737BF7}"/>
    <cellStyle name="Comma 2 2 2 3 2 2 3" xfId="750" xr:uid="{6784DB5A-874E-4073-9208-B14E2AD75DCE}"/>
    <cellStyle name="Comma 2 2 2 3 2 2 4" xfId="1011" xr:uid="{A86B8E2C-4A8F-48E9-99E9-3EB163EF64C3}"/>
    <cellStyle name="Comma 2 2 2 3 2 2 5" xfId="1277" xr:uid="{580B2438-A30A-4C03-B772-51CE0FCE9024}"/>
    <cellStyle name="Comma 2 2 2 3 2 2 6" xfId="1539" xr:uid="{77BF13BF-05D8-4756-A6AC-120D6C08A98E}"/>
    <cellStyle name="Comma 2 2 2 3 2 2 7" xfId="1805" xr:uid="{4FDD2AFE-07C8-4751-AEB7-1789808963DF}"/>
    <cellStyle name="Comma 2 2 2 3 2 3" xfId="573" xr:uid="{FE8F4A46-489C-4B3E-B861-859CA0BD06AB}"/>
    <cellStyle name="Comma 2 2 2 3 2 3 2" xfId="838" xr:uid="{019B45ED-33F9-41F5-9346-BD89AB669677}"/>
    <cellStyle name="Comma 2 2 2 3 2 3 3" xfId="1099" xr:uid="{F57A54E6-CC77-41BC-A7EA-9239E303C206}"/>
    <cellStyle name="Comma 2 2 2 3 2 3 4" xfId="1365" xr:uid="{91F27E9C-C75B-4FD6-8183-C75AD9B4396A}"/>
    <cellStyle name="Comma 2 2 2 3 2 3 5" xfId="1627" xr:uid="{A13ADE92-E144-4ADC-BB28-81F9FCA3B337}"/>
    <cellStyle name="Comma 2 2 2 3 2 3 6" xfId="1893" xr:uid="{AE085797-572E-4981-B12D-911CA8EC01EC}"/>
    <cellStyle name="Comma 2 2 2 3 2 4" xfId="709" xr:uid="{268068F1-8B77-48DF-8112-C3A6A6481778}"/>
    <cellStyle name="Comma 2 2 2 3 2 5" xfId="970" xr:uid="{22C3AFC5-0615-479B-A9E4-F1FBEC9759D6}"/>
    <cellStyle name="Comma 2 2 2 3 2 6" xfId="1236" xr:uid="{32FEFC00-64EE-4618-A4F2-850F875459F0}"/>
    <cellStyle name="Comma 2 2 2 3 2 7" xfId="1498" xr:uid="{A333D422-E432-4032-8769-606F50B30D5B}"/>
    <cellStyle name="Comma 2 2 2 3 2 8" xfId="1764" xr:uid="{CD78CFB5-E72C-4B1F-B75E-46A12B1AE67F}"/>
    <cellStyle name="Comma 2 2 2 3 3" xfId="378" xr:uid="{17048AFD-60C0-4537-83B5-80D58E93E350}"/>
    <cellStyle name="Comma 2 2 2 3 3 2" xfId="604" xr:uid="{B777D4E0-F6A6-41EB-82B8-0BC477928000}"/>
    <cellStyle name="Comma 2 2 2 3 3 2 2" xfId="868" xr:uid="{BE089626-8E28-465A-ABD7-BA87E1420450}"/>
    <cellStyle name="Comma 2 2 2 3 3 2 3" xfId="1129" xr:uid="{67AC31C8-79A4-47D5-80AB-00F22E4989F3}"/>
    <cellStyle name="Comma 2 2 2 3 3 2 4" xfId="1395" xr:uid="{112A5017-C3E0-4E6B-AE00-E5A98F679D10}"/>
    <cellStyle name="Comma 2 2 2 3 3 2 5" xfId="1657" xr:uid="{81164F21-9576-4F69-B481-453738991202}"/>
    <cellStyle name="Comma 2 2 2 3 3 2 6" xfId="1923" xr:uid="{ACA4BDFE-1FB3-4F91-9091-E305E7BCD7E6}"/>
    <cellStyle name="Comma 2 2 2 3 3 3" xfId="739" xr:uid="{71FBA6FB-F56F-48CC-8E39-B6BF391FC85B}"/>
    <cellStyle name="Comma 2 2 2 3 3 4" xfId="1000" xr:uid="{0A4AD9E4-D4ED-4B7C-B006-27D4F61D26F1}"/>
    <cellStyle name="Comma 2 2 2 3 3 5" xfId="1266" xr:uid="{45628155-8BFA-4377-95B6-E1C70AE2865A}"/>
    <cellStyle name="Comma 2 2 2 3 3 6" xfId="1528" xr:uid="{A422C22B-8D0A-46E2-90AD-C05A239A1765}"/>
    <cellStyle name="Comma 2 2 2 3 3 7" xfId="1794" xr:uid="{D16759A1-F5A8-4CAE-97C1-337463D36137}"/>
    <cellStyle name="Comma 2 2 2 3 4" xfId="321" xr:uid="{94C0EB56-3308-41D1-8D55-B09FA9AEAD41}"/>
    <cellStyle name="Comma 2 2 2 3 4 2" xfId="556" xr:uid="{F7994AA7-A1A2-4593-B184-A58BC21F8764}"/>
    <cellStyle name="Comma 2 2 2 3 4 2 2" xfId="823" xr:uid="{4DD9975C-2DBF-47A6-91D0-BFD108B63E43}"/>
    <cellStyle name="Comma 2 2 2 3 4 2 3" xfId="1084" xr:uid="{EA49018E-51CC-4FCA-87F7-34D10D1EAF8C}"/>
    <cellStyle name="Comma 2 2 2 3 4 2 4" xfId="1350" xr:uid="{AEE91987-9B81-4E34-A9B4-0331BB49C781}"/>
    <cellStyle name="Comma 2 2 2 3 4 2 5" xfId="1612" xr:uid="{A7AA0533-734A-4012-9DA2-80518A19F1C5}"/>
    <cellStyle name="Comma 2 2 2 3 4 2 6" xfId="1878" xr:uid="{3DA4A928-DBCD-456F-A442-7DE8C486CD37}"/>
    <cellStyle name="Comma 2 2 2 3 4 3" xfId="694" xr:uid="{79144D05-CC0D-40D6-A70C-6011AA96A3FC}"/>
    <cellStyle name="Comma 2 2 2 3 4 4" xfId="955" xr:uid="{40DB5F5A-1007-4B67-A3FC-EBC30F7F7C3F}"/>
    <cellStyle name="Comma 2 2 2 3 4 5" xfId="1221" xr:uid="{CD335108-0C65-4894-AF90-247CFE82D430}"/>
    <cellStyle name="Comma 2 2 2 3 4 6" xfId="1483" xr:uid="{33699B8B-5F35-4F78-91DB-1BA5009EEC77}"/>
    <cellStyle name="Comma 2 2 2 3 4 7" xfId="1749" xr:uid="{D6FE8EEB-6092-4A80-9938-9DDC2326888E}"/>
    <cellStyle name="Comma 2 2 2 3 5" xfId="480" xr:uid="{06D3AE6B-7CDD-4BAF-A372-FC6FCBF683CD}"/>
    <cellStyle name="Comma 2 2 2 3 5 2" xfId="788" xr:uid="{00D3AB16-A2D5-4589-87B6-C5DC7D670974}"/>
    <cellStyle name="Comma 2 2 2 3 5 3" xfId="1049" xr:uid="{C6961F7A-D46B-4465-ADA6-A5422D3C85C3}"/>
    <cellStyle name="Comma 2 2 2 3 5 4" xfId="1315" xr:uid="{DE0D8DAE-CEFC-47F7-938D-D0A3A012E046}"/>
    <cellStyle name="Comma 2 2 2 3 5 5" xfId="1577" xr:uid="{5EB03CCD-C6DC-45E1-885E-79D822267237}"/>
    <cellStyle name="Comma 2 2 2 3 5 6" xfId="1843" xr:uid="{0ABAEDAD-9807-4D6E-BF6F-1520D6AD46F6}"/>
    <cellStyle name="Comma 2 2 2 3 6" xfId="659" xr:uid="{6A4E296A-25AD-41E9-9766-185A00645E84}"/>
    <cellStyle name="Comma 2 2 2 3 7" xfId="920" xr:uid="{228FFD07-39B0-4CB6-8053-FB9776741085}"/>
    <cellStyle name="Comma 2 2 2 3 8" xfId="1186" xr:uid="{AA31B826-4F0D-4AAB-9C11-D278EE1C9DA9}"/>
    <cellStyle name="Comma 2 2 2 3 9" xfId="1448" xr:uid="{B8EA0FC7-96F0-4744-849B-64D75BA3F487}"/>
    <cellStyle name="Comma 2 2 2 4" xfId="237" xr:uid="{34AA5C10-7D6E-42EF-9464-9DCBA744DA9D}"/>
    <cellStyle name="Comma 2 2 2 4 2" xfId="382" xr:uid="{ED5FEB3C-417D-4868-81A6-77469DDFDA82}"/>
    <cellStyle name="Comma 2 2 2 4 2 2" xfId="608" xr:uid="{1DC9CCA6-2B93-4106-B8C5-C2B68872DB9C}"/>
    <cellStyle name="Comma 2 2 2 4 2 2 2" xfId="872" xr:uid="{ABBE6AF9-FF41-4D5C-8808-D8D44F752CE5}"/>
    <cellStyle name="Comma 2 2 2 4 2 2 3" xfId="1133" xr:uid="{6F4218E0-BB5F-4547-9ECF-9A50B07AAD02}"/>
    <cellStyle name="Comma 2 2 2 4 2 2 4" xfId="1399" xr:uid="{70AB1139-7E08-4772-937B-BC9A09152B61}"/>
    <cellStyle name="Comma 2 2 2 4 2 2 5" xfId="1661" xr:uid="{C507D374-4AEC-4AA1-9BA0-7929E3EC4E66}"/>
    <cellStyle name="Comma 2 2 2 4 2 2 6" xfId="1927" xr:uid="{D9753D87-8E40-421E-8943-D5DC09F03248}"/>
    <cellStyle name="Comma 2 2 2 4 2 3" xfId="743" xr:uid="{2E937AC2-36C5-4AD4-A096-EDD1FE9BF2E2}"/>
    <cellStyle name="Comma 2 2 2 4 2 4" xfId="1004" xr:uid="{C76789B9-830F-48FD-902B-421BC0CF8192}"/>
    <cellStyle name="Comma 2 2 2 4 2 5" xfId="1270" xr:uid="{58F00F55-5714-440E-BEBD-16C500E1DC9D}"/>
    <cellStyle name="Comma 2 2 2 4 2 6" xfId="1532" xr:uid="{200FAFF9-66EE-4E7A-B6FE-9303E841689F}"/>
    <cellStyle name="Comma 2 2 2 4 2 7" xfId="1798" xr:uid="{33FF7D01-431B-4E78-A7DC-AC326C34FC8E}"/>
    <cellStyle name="Comma 2 2 2 4 3" xfId="332" xr:uid="{FC53EB9F-DA97-47CE-9EA1-586E6D5B0704}"/>
    <cellStyle name="Comma 2 2 2 4 3 2" xfId="563" xr:uid="{1765720C-B33E-44F1-8FCC-F6BF10D01121}"/>
    <cellStyle name="Comma 2 2 2 4 3 2 2" xfId="829" xr:uid="{6CCA3A65-E582-4F43-B307-6526E96CC593}"/>
    <cellStyle name="Comma 2 2 2 4 3 2 3" xfId="1090" xr:uid="{68961139-9856-45DC-88D1-65CA4825E34F}"/>
    <cellStyle name="Comma 2 2 2 4 3 2 4" xfId="1356" xr:uid="{672D33E6-292B-4D64-97D7-FD5BFED14304}"/>
    <cellStyle name="Comma 2 2 2 4 3 2 5" xfId="1618" xr:uid="{E5F304EC-FF3B-457B-9502-9656EB0378F3}"/>
    <cellStyle name="Comma 2 2 2 4 3 2 6" xfId="1884" xr:uid="{FDD6E4A9-9F70-484D-83E0-D8EB218BF2A6}"/>
    <cellStyle name="Comma 2 2 2 4 3 3" xfId="700" xr:uid="{5CA38DBC-1B3B-4C24-96B6-4782C9CB1A52}"/>
    <cellStyle name="Comma 2 2 2 4 3 4" xfId="961" xr:uid="{D9DC49AA-49BA-4D44-8CE3-66E9208DBA9F}"/>
    <cellStyle name="Comma 2 2 2 4 3 5" xfId="1227" xr:uid="{F885F8B7-076B-4F73-BE6C-19FF3405CEDF}"/>
    <cellStyle name="Comma 2 2 2 4 3 6" xfId="1489" xr:uid="{9F89D70F-2492-440B-ADE5-71EA4AAC23BE}"/>
    <cellStyle name="Comma 2 2 2 4 3 7" xfId="1755" xr:uid="{248246DB-CA53-4E34-AA08-A0456D757DB0}"/>
    <cellStyle name="Comma 2 2 2 4 4" xfId="490" xr:uid="{4AAD99F5-DB93-4B05-B575-3BEF69ECCA97}"/>
    <cellStyle name="Comma 2 2 2 4 4 2" xfId="794" xr:uid="{E7C2E822-F32B-4FE6-9FB5-31A7E551AF6D}"/>
    <cellStyle name="Comma 2 2 2 4 4 3" xfId="1055" xr:uid="{8931B97D-2E68-4DBF-9C0A-6976F9967152}"/>
    <cellStyle name="Comma 2 2 2 4 4 4" xfId="1321" xr:uid="{F077F254-F186-4E7D-B683-C970555E8CAA}"/>
    <cellStyle name="Comma 2 2 2 4 4 5" xfId="1583" xr:uid="{987A8B9B-5F5F-4A51-8E8F-EC03A2925D30}"/>
    <cellStyle name="Comma 2 2 2 4 4 6" xfId="1849" xr:uid="{E7A8E1E3-F588-486C-8C6E-5C83E8EFF87D}"/>
    <cellStyle name="Comma 2 2 2 4 5" xfId="665" xr:uid="{3DD37517-B86A-4AE0-A7E4-A471BF8D9C20}"/>
    <cellStyle name="Comma 2 2 2 4 6" xfId="926" xr:uid="{9DB0BF5F-A2C9-4535-9B48-D6B4104A8592}"/>
    <cellStyle name="Comma 2 2 2 4 7" xfId="1192" xr:uid="{3DFF75F0-1508-4EEA-B50A-26EB71C86CE9}"/>
    <cellStyle name="Comma 2 2 2 4 8" xfId="1454" xr:uid="{1B9CC442-9A56-48FB-A685-A30115796A0F}"/>
    <cellStyle name="Comma 2 2 2 4 9" xfId="1720" xr:uid="{75AD5077-3052-4B59-A28E-4877C18425F7}"/>
    <cellStyle name="Comma 2 2 2 5" xfId="278" xr:uid="{373BE73E-CE17-4E44-882E-9A97724A5475}"/>
    <cellStyle name="Comma 2 2 2 5 2" xfId="370" xr:uid="{99EE9479-08BC-451C-B912-3C412C91C111}"/>
    <cellStyle name="Comma 2 2 2 5 2 2" xfId="597" xr:uid="{0BD78171-1B6E-4DB2-9624-ADD9168E1F7F}"/>
    <cellStyle name="Comma 2 2 2 5 2 2 2" xfId="861" xr:uid="{36630930-95E5-4E7C-BB5C-694CF83CDA7C}"/>
    <cellStyle name="Comma 2 2 2 5 2 2 3" xfId="1122" xr:uid="{491B024F-FECE-4BC1-AAA0-68C93C1ECCFC}"/>
    <cellStyle name="Comma 2 2 2 5 2 2 4" xfId="1388" xr:uid="{FA7DB50E-1D27-40E0-BADE-7B61F5ECE41A}"/>
    <cellStyle name="Comma 2 2 2 5 2 2 5" xfId="1650" xr:uid="{79B4FE9D-1D2B-4070-BBF6-BF91E8807FAA}"/>
    <cellStyle name="Comma 2 2 2 5 2 2 6" xfId="1916" xr:uid="{B9DA4F5D-6AAA-4AAB-B1A3-33E876D752C0}"/>
    <cellStyle name="Comma 2 2 2 5 2 3" xfId="732" xr:uid="{47421A50-82A0-4FDB-99CA-E5AD06F4060A}"/>
    <cellStyle name="Comma 2 2 2 5 2 4" xfId="993" xr:uid="{2E5DC6AE-341D-4860-AE7C-A045497459EE}"/>
    <cellStyle name="Comma 2 2 2 5 2 5" xfId="1259" xr:uid="{F2A7846F-DC90-44B2-9E35-03979D69EFE4}"/>
    <cellStyle name="Comma 2 2 2 5 2 6" xfId="1521" xr:uid="{CDE9CAFF-D982-4405-97CF-0D140A1F0C46}"/>
    <cellStyle name="Comma 2 2 2 5 2 7" xfId="1787" xr:uid="{40DDB874-5965-4F6D-9452-D7E27C71E289}"/>
    <cellStyle name="Comma 2 2 2 5 3" xfId="516" xr:uid="{927E1F92-5096-409B-870E-869DB37FBC65}"/>
    <cellStyle name="Comma 2 2 2 5 3 2" xfId="813" xr:uid="{A221E8EA-2142-460C-ACBD-5EF4E0A70D4A}"/>
    <cellStyle name="Comma 2 2 2 5 3 3" xfId="1074" xr:uid="{96B22BDD-2D87-4A66-A37D-4699A33EBEF1}"/>
    <cellStyle name="Comma 2 2 2 5 3 4" xfId="1340" xr:uid="{5ECD260C-DECB-4DB1-9930-B3AADC800991}"/>
    <cellStyle name="Comma 2 2 2 5 3 5" xfId="1602" xr:uid="{F7AAE564-9F7C-4455-BAA3-BADE4DD7B9E5}"/>
    <cellStyle name="Comma 2 2 2 5 3 6" xfId="1868" xr:uid="{DDC29CBC-442A-43AF-940A-F68E5D7A8D44}"/>
    <cellStyle name="Comma 2 2 2 5 4" xfId="684" xr:uid="{FFAC9BA9-DCEC-4CB9-A362-46FBF20C3A10}"/>
    <cellStyle name="Comma 2 2 2 5 5" xfId="945" xr:uid="{FB744515-182E-49AC-BA3D-74316DAD5A5B}"/>
    <cellStyle name="Comma 2 2 2 5 6" xfId="1211" xr:uid="{AEA1E0E6-598E-40B2-9C83-492179B2BF49}"/>
    <cellStyle name="Comma 2 2 2 5 7" xfId="1473" xr:uid="{841E9D0B-36AB-4171-A054-5DB6DDE6B2C6}"/>
    <cellStyle name="Comma 2 2 2 5 8" xfId="1739" xr:uid="{2725D2DB-D390-4FF8-B2AE-59532F9C983C}"/>
    <cellStyle name="Comma 2 2 2 6" xfId="258" xr:uid="{1B12123B-92A5-4754-9201-E8E6793EEB55}"/>
    <cellStyle name="Comma 2 2 2 6 2" xfId="361" xr:uid="{95510000-604D-4754-A607-F114B12FA3A8}"/>
    <cellStyle name="Comma 2 2 2 6 2 2" xfId="590" xr:uid="{27877534-327F-4755-8456-A327268B6869}"/>
    <cellStyle name="Comma 2 2 2 6 2 2 2" xfId="854" xr:uid="{82A3484B-A979-48CC-9AF5-67A69CFE3F22}"/>
    <cellStyle name="Comma 2 2 2 6 2 2 3" xfId="1115" xr:uid="{55B521BD-D9D8-4B0E-A7E4-B5200FE7AA2C}"/>
    <cellStyle name="Comma 2 2 2 6 2 2 4" xfId="1381" xr:uid="{05832AE3-38F7-4E0C-A686-515EC349DAB5}"/>
    <cellStyle name="Comma 2 2 2 6 2 2 5" xfId="1643" xr:uid="{395D2032-9C4B-428A-8534-B7515FF79A81}"/>
    <cellStyle name="Comma 2 2 2 6 2 2 6" xfId="1909" xr:uid="{8C6F4C66-5B9F-4F6B-8524-DF6BAC8C6FDD}"/>
    <cellStyle name="Comma 2 2 2 6 2 3" xfId="725" xr:uid="{5A292AC3-8571-475E-A888-57A3374F1218}"/>
    <cellStyle name="Comma 2 2 2 6 2 4" xfId="986" xr:uid="{3BEC4DA6-09B1-4664-8691-FDA60AB9EBDC}"/>
    <cellStyle name="Comma 2 2 2 6 2 5" xfId="1252" xr:uid="{C4898F89-9C38-4BA3-BCD2-FAF9BD96CD2C}"/>
    <cellStyle name="Comma 2 2 2 6 2 6" xfId="1514" xr:uid="{D32B8822-CCC1-4375-B05B-45860ADFB708}"/>
    <cellStyle name="Comma 2 2 2 6 2 7" xfId="1780" xr:uid="{B6296125-9F66-4BD5-B673-855272DEFA7C}"/>
    <cellStyle name="Comma 2 2 2 6 3" xfId="504" xr:uid="{7713DF0C-CB48-421D-B09C-039AD317E05A}"/>
    <cellStyle name="Comma 2 2 2 6 3 2" xfId="803" xr:uid="{F0AB08C8-9E43-4E81-AE1F-437503E34397}"/>
    <cellStyle name="Comma 2 2 2 6 3 3" xfId="1064" xr:uid="{9B793713-6449-4733-ABEB-8EA93574ACC4}"/>
    <cellStyle name="Comma 2 2 2 6 3 4" xfId="1330" xr:uid="{8306D26B-32BE-4F10-B5A1-6AFFF0AEAFA7}"/>
    <cellStyle name="Comma 2 2 2 6 3 5" xfId="1592" xr:uid="{55CB627B-A675-449B-B190-57D0D74F28A2}"/>
    <cellStyle name="Comma 2 2 2 6 3 6" xfId="1858" xr:uid="{A61DFEFA-8058-4D93-BB7A-17A1B601A492}"/>
    <cellStyle name="Comma 2 2 2 6 4" xfId="674" xr:uid="{D1A97F79-8FBC-4081-95FA-FBEE88839539}"/>
    <cellStyle name="Comma 2 2 2 6 5" xfId="935" xr:uid="{2571FE4E-AEBA-42C6-AECB-02D86FE470D7}"/>
    <cellStyle name="Comma 2 2 2 6 6" xfId="1201" xr:uid="{977BDB33-DA08-4410-A94D-8B25BF1711BD}"/>
    <cellStyle name="Comma 2 2 2 6 7" xfId="1463" xr:uid="{F11A923A-08B3-4081-8DB0-C553963E0DE6}"/>
    <cellStyle name="Comma 2 2 2 6 8" xfId="1729" xr:uid="{554DE19F-AD7E-4DE5-835C-FD5D2A6DB6C8}"/>
    <cellStyle name="Comma 2 2 2 7" xfId="449" xr:uid="{0C80E083-4327-43C6-AD4F-F8969A7FDB79}"/>
    <cellStyle name="Comma 2 2 2 7 2" xfId="768" xr:uid="{6DE61FB8-0D87-48AE-AC82-D03AD09A302C}"/>
    <cellStyle name="Comma 2 2 2 7 3" xfId="1029" xr:uid="{6E58B8A1-7F97-4D97-8117-41F17F28F73A}"/>
    <cellStyle name="Comma 2 2 2 7 4" xfId="1295" xr:uid="{172F2EB4-E497-4410-AF52-1F32F66E916B}"/>
    <cellStyle name="Comma 2 2 2 7 5" xfId="1557" xr:uid="{99651309-0E1F-4224-8407-F83F06EE9519}"/>
    <cellStyle name="Comma 2 2 2 7 6" xfId="1823" xr:uid="{4C614703-0EA1-45F9-AFD0-3856B217E901}"/>
    <cellStyle name="Comma 2 2 2 8" xfId="637" xr:uid="{1B10CA80-64B6-4489-979F-00B8D74F0CB9}"/>
    <cellStyle name="Comma 2 2 2 9" xfId="898" xr:uid="{01A4EE20-9E5E-4094-A59F-A09447B69182}"/>
    <cellStyle name="Comma 2 2 3" xfId="163" xr:uid="{E6B0831A-B83E-427B-9D4B-CFFF4FB1538F}"/>
    <cellStyle name="Comma 2 2 3 10" xfId="899" xr:uid="{9038393E-B3AA-4DC2-B148-98C5FB35D8EE}"/>
    <cellStyle name="Comma 2 2 3 11" xfId="1165" xr:uid="{F33B98E0-0169-45AB-BC83-3E7B85EA20BE}"/>
    <cellStyle name="Comma 2 2 3 12" xfId="1427" xr:uid="{C91CD55C-4DFA-4397-A991-AFC733CA5EF9}"/>
    <cellStyle name="Comma 2 2 3 13" xfId="1693" xr:uid="{516D61C5-BDE9-4E64-B2B7-E51EE4955E19}"/>
    <cellStyle name="Comma 2 2 3 2" xfId="324" xr:uid="{046D8674-3236-4431-B2DE-AE7D13BE8683}"/>
    <cellStyle name="Comma 2 2 3 2 2" xfId="348" xr:uid="{F91E4C25-708D-471E-96EF-1A47C4F93B4E}"/>
    <cellStyle name="Comma 2 2 3 2 2 2" xfId="391" xr:uid="{F6F2C061-A265-408C-A861-E96B8F60C0E2}"/>
    <cellStyle name="Comma 2 2 3 2 2 2 2" xfId="617" xr:uid="{B1D83661-9CCF-4234-9526-829CE9AFA283}"/>
    <cellStyle name="Comma 2 2 3 2 2 2 2 2" xfId="881" xr:uid="{C7490CE7-9E89-4D3F-82F4-4BAA603A04BF}"/>
    <cellStyle name="Comma 2 2 3 2 2 2 2 3" xfId="1142" xr:uid="{FA522A0C-4305-49AF-989F-098C6C2FBCBF}"/>
    <cellStyle name="Comma 2 2 3 2 2 2 2 4" xfId="1408" xr:uid="{20FD9151-A648-42E1-A083-4419C78D26C2}"/>
    <cellStyle name="Comma 2 2 3 2 2 2 2 5" xfId="1670" xr:uid="{37BEE785-C78B-4B54-A212-BEFF5EC894E6}"/>
    <cellStyle name="Comma 2 2 3 2 2 2 2 6" xfId="1936" xr:uid="{D734CD7A-7615-4A9E-B3C8-69E1E0915309}"/>
    <cellStyle name="Comma 2 2 3 2 2 2 3" xfId="752" xr:uid="{609EF610-837A-4F59-A7F7-5F0273EE6EB3}"/>
    <cellStyle name="Comma 2 2 3 2 2 2 4" xfId="1013" xr:uid="{1457D72E-F6A3-4C8A-98E2-572B1370FDC8}"/>
    <cellStyle name="Comma 2 2 3 2 2 2 5" xfId="1279" xr:uid="{825BB21C-8EDC-4853-8AF4-6177587E6111}"/>
    <cellStyle name="Comma 2 2 3 2 2 2 6" xfId="1541" xr:uid="{E2447CA1-7CB9-46FB-95D9-A80D75E43314}"/>
    <cellStyle name="Comma 2 2 3 2 2 2 7" xfId="1807" xr:uid="{9AA3CB7C-1C4B-4029-A823-2E19F98C6B26}"/>
    <cellStyle name="Comma 2 2 3 2 2 3" xfId="579" xr:uid="{473A948F-BCA0-4FF7-B351-D94873A9C97E}"/>
    <cellStyle name="Comma 2 2 3 2 2 3 2" xfId="843" xr:uid="{C9A5366B-2FA6-403F-B212-976E85AEC3C4}"/>
    <cellStyle name="Comma 2 2 3 2 2 3 3" xfId="1104" xr:uid="{640D6BAB-1352-4919-837C-DD132CC584C0}"/>
    <cellStyle name="Comma 2 2 3 2 2 3 4" xfId="1370" xr:uid="{5A021014-61B6-4950-BC3A-25D9278BAF85}"/>
    <cellStyle name="Comma 2 2 3 2 2 3 5" xfId="1632" xr:uid="{0D10CBB4-A926-48D5-9003-098F83528729}"/>
    <cellStyle name="Comma 2 2 3 2 2 3 6" xfId="1898" xr:uid="{D14B08B3-1DE4-4275-8AEE-56B547453AAC}"/>
    <cellStyle name="Comma 2 2 3 2 2 4" xfId="714" xr:uid="{7218E066-440D-498D-9AA2-575862BDA5CF}"/>
    <cellStyle name="Comma 2 2 3 2 2 5" xfId="975" xr:uid="{EC3C9D26-366B-40DE-9203-F42A457B1184}"/>
    <cellStyle name="Comma 2 2 3 2 2 6" xfId="1241" xr:uid="{20EA69F7-3B36-470E-965F-47F27D793EDC}"/>
    <cellStyle name="Comma 2 2 3 2 2 7" xfId="1503" xr:uid="{1B868BAD-6325-497B-B37C-0AD563ABA045}"/>
    <cellStyle name="Comma 2 2 3 2 2 8" xfId="1769" xr:uid="{5161BACB-2C17-4654-B71B-9104F0478718}"/>
    <cellStyle name="Comma 2 2 3 2 3" xfId="379" xr:uid="{4C9415F6-9DFF-4BFF-98CF-59DA624EC6C8}"/>
    <cellStyle name="Comma 2 2 3 2 3 2" xfId="605" xr:uid="{EF1CBE20-A99C-482B-A7F7-0C3C0CB7D40C}"/>
    <cellStyle name="Comma 2 2 3 2 3 2 2" xfId="869" xr:uid="{FFDD6837-9887-4F4E-ACE8-A638F17712B9}"/>
    <cellStyle name="Comma 2 2 3 2 3 2 3" xfId="1130" xr:uid="{6CDA03CB-919E-4581-8F6D-382CF88240AF}"/>
    <cellStyle name="Comma 2 2 3 2 3 2 4" xfId="1396" xr:uid="{7EF56300-E6B6-47CA-B8A2-8B08139A70E5}"/>
    <cellStyle name="Comma 2 2 3 2 3 2 5" xfId="1658" xr:uid="{80D02CDB-FF3D-4642-B6BF-E6056F8F297A}"/>
    <cellStyle name="Comma 2 2 3 2 3 2 6" xfId="1924" xr:uid="{236B8915-009E-41A8-B840-ECBA592640A6}"/>
    <cellStyle name="Comma 2 2 3 2 3 3" xfId="740" xr:uid="{768875DE-90CC-41D4-A53E-E2C85139D3B8}"/>
    <cellStyle name="Comma 2 2 3 2 3 4" xfId="1001" xr:uid="{89A65798-4018-4F91-930D-D422C20C6171}"/>
    <cellStyle name="Comma 2 2 3 2 3 5" xfId="1267" xr:uid="{B93FFA5E-E366-4DA4-8376-670A7810A2D4}"/>
    <cellStyle name="Comma 2 2 3 2 3 6" xfId="1529" xr:uid="{01F1E3DA-6168-4999-B916-BB0769038A69}"/>
    <cellStyle name="Comma 2 2 3 2 3 7" xfId="1795" xr:uid="{253C5043-76CD-4EE7-9700-C1B6E6391400}"/>
    <cellStyle name="Comma 2 2 3 2 4" xfId="558" xr:uid="{866E0707-443E-42D3-80B7-ABA5BA5264DE}"/>
    <cellStyle name="Comma 2 2 3 2 4 2" xfId="825" xr:uid="{6FA38071-3C46-4530-8A18-00063A1EC054}"/>
    <cellStyle name="Comma 2 2 3 2 4 3" xfId="1086" xr:uid="{6D0E0332-01FA-4A3F-A1FD-ACDF4D5B4786}"/>
    <cellStyle name="Comma 2 2 3 2 4 4" xfId="1352" xr:uid="{B227DBBA-D12D-4CE4-9C00-5EF1A8487671}"/>
    <cellStyle name="Comma 2 2 3 2 4 5" xfId="1614" xr:uid="{BFF8B868-E370-49B9-84A0-350778BD1A0B}"/>
    <cellStyle name="Comma 2 2 3 2 4 6" xfId="1880" xr:uid="{E82B7A0D-7CC3-4409-9DE1-74059A14586B}"/>
    <cellStyle name="Comma 2 2 3 2 5" xfId="696" xr:uid="{40BEF6B4-55E4-4BD2-8CA5-192644A26101}"/>
    <cellStyle name="Comma 2 2 3 2 6" xfId="957" xr:uid="{EF7AB84B-1926-4BE2-9878-EF3FC93945F5}"/>
    <cellStyle name="Comma 2 2 3 2 7" xfId="1223" xr:uid="{E025DF35-0A82-4E2E-BCAF-1402685BF886}"/>
    <cellStyle name="Comma 2 2 3 2 8" xfId="1485" xr:uid="{81BF89AF-FB5A-4446-9B75-DEF9822897B9}"/>
    <cellStyle name="Comma 2 2 3 2 9" xfId="1751" xr:uid="{D8F7D851-124E-4528-8DA8-E69C9FA22599}"/>
    <cellStyle name="Comma 2 2 3 3" xfId="334" xr:uid="{D4C3F547-39CD-44E0-BE99-323DC425D0D2}"/>
    <cellStyle name="Comma 2 2 3 3 2" xfId="384" xr:uid="{3C8CF2AC-3B30-46B1-98D3-C7150368EDBA}"/>
    <cellStyle name="Comma 2 2 3 3 2 2" xfId="610" xr:uid="{62C7E629-60F0-499B-A60A-8026216D747D}"/>
    <cellStyle name="Comma 2 2 3 3 2 2 2" xfId="874" xr:uid="{3497246F-D7E4-4794-A3D7-6B8E1B345FC7}"/>
    <cellStyle name="Comma 2 2 3 3 2 2 3" xfId="1135" xr:uid="{F3ECE5AB-D07B-4BB5-A575-3DA7D2DF770B}"/>
    <cellStyle name="Comma 2 2 3 3 2 2 4" xfId="1401" xr:uid="{80CF5959-556A-4580-99A1-C57AD1132D40}"/>
    <cellStyle name="Comma 2 2 3 3 2 2 5" xfId="1663" xr:uid="{E556EEBF-B568-44E4-8C49-B3EF082CA3E5}"/>
    <cellStyle name="Comma 2 2 3 3 2 2 6" xfId="1929" xr:uid="{AB4FCA8F-F99F-44AC-B24D-5E1DD612A996}"/>
    <cellStyle name="Comma 2 2 3 3 2 3" xfId="745" xr:uid="{183F7E0B-E734-49F1-BD98-1C544CCBC1B6}"/>
    <cellStyle name="Comma 2 2 3 3 2 4" xfId="1006" xr:uid="{362A26C6-4BCD-4235-9BDB-6D7EB5DBFB82}"/>
    <cellStyle name="Comma 2 2 3 3 2 5" xfId="1272" xr:uid="{682D8E20-5D6A-472A-A096-CC559D780BA6}"/>
    <cellStyle name="Comma 2 2 3 3 2 6" xfId="1534" xr:uid="{B4950440-241D-4938-BADB-D501D8D37669}"/>
    <cellStyle name="Comma 2 2 3 3 2 7" xfId="1800" xr:uid="{5B6783A4-5D36-429A-AD7D-DE78713D2634}"/>
    <cellStyle name="Comma 2 2 3 3 3" xfId="565" xr:uid="{06F9982D-8134-4253-AE3B-0247D8637028}"/>
    <cellStyle name="Comma 2 2 3 3 3 2" xfId="831" xr:uid="{40CABE0C-2AB1-4190-B2C4-6CB89967A98D}"/>
    <cellStyle name="Comma 2 2 3 3 3 3" xfId="1092" xr:uid="{4AA34E6D-F68C-43A5-AE5B-D23A4E18F5D9}"/>
    <cellStyle name="Comma 2 2 3 3 3 4" xfId="1358" xr:uid="{8011B0DA-F9AF-433B-92FB-E79B21C13775}"/>
    <cellStyle name="Comma 2 2 3 3 3 5" xfId="1620" xr:uid="{6E103045-05E0-48F1-A60A-ED42F3132613}"/>
    <cellStyle name="Comma 2 2 3 3 3 6" xfId="1886" xr:uid="{27E2E59C-F4DF-4673-860E-684012E2F897}"/>
    <cellStyle name="Comma 2 2 3 3 4" xfId="702" xr:uid="{78B8E265-B457-43F2-8A33-A6A10653EE0E}"/>
    <cellStyle name="Comma 2 2 3 3 5" xfId="963" xr:uid="{9037526B-6C42-468F-9141-A1CA7997C156}"/>
    <cellStyle name="Comma 2 2 3 3 6" xfId="1229" xr:uid="{F38567A1-2EC5-4035-9251-A56631FE7151}"/>
    <cellStyle name="Comma 2 2 3 3 7" xfId="1491" xr:uid="{CC606488-6F1F-4774-8383-8B10DDAE8FA4}"/>
    <cellStyle name="Comma 2 2 3 3 8" xfId="1757" xr:uid="{81700695-509D-4DDD-AB89-E35E49B0F4A2}"/>
    <cellStyle name="Comma 2 2 3 4" xfId="327" xr:uid="{0B4E61E3-6F8E-450A-AAFE-0D0EE82B1A4A}"/>
    <cellStyle name="Comma 2 2 3 4 2" xfId="560" xr:uid="{1C1B05EE-B82E-454D-909B-58E5D2D574D5}"/>
    <cellStyle name="Comma 2 2 3 4 2 2" xfId="826" xr:uid="{181164F6-96A2-46D7-ADED-D85CA647C6CB}"/>
    <cellStyle name="Comma 2 2 3 4 2 3" xfId="1087" xr:uid="{739F8DBD-57EB-4C62-B8A4-2861E292F238}"/>
    <cellStyle name="Comma 2 2 3 4 2 4" xfId="1353" xr:uid="{B8A97BA9-7D55-4E60-9680-01672A6EE59D}"/>
    <cellStyle name="Comma 2 2 3 4 2 5" xfId="1615" xr:uid="{409A6B28-A8F4-4755-9F1D-F07EB2F14E8B}"/>
    <cellStyle name="Comma 2 2 3 4 2 6" xfId="1881" xr:uid="{9D563413-CAEA-432A-B850-FA1C3B3B68D3}"/>
    <cellStyle name="Comma 2 2 3 4 3" xfId="697" xr:uid="{AFBD9FED-98BB-45BD-9B3A-DFE335B6A1AC}"/>
    <cellStyle name="Comma 2 2 3 4 4" xfId="958" xr:uid="{93F64920-5876-424A-BCCB-BDFA05D67D42}"/>
    <cellStyle name="Comma 2 2 3 4 5" xfId="1224" xr:uid="{ED087FA6-F2B8-433E-BBF6-3EC10068B2DA}"/>
    <cellStyle name="Comma 2 2 3 4 6" xfId="1486" xr:uid="{965177A6-5AB2-4CC1-B759-C50E5A3DFC20}"/>
    <cellStyle name="Comma 2 2 3 4 7" xfId="1752" xr:uid="{B08A258D-6193-4C9B-A052-1FD192808B08}"/>
    <cellStyle name="Comma 2 2 3 5" xfId="282" xr:uid="{C3232240-584C-4CE5-83A8-7A6DA70BB332}"/>
    <cellStyle name="Comma 2 2 3 5 2" xfId="372" xr:uid="{7B80D77F-ABB0-4B16-A37B-A38E32C7710F}"/>
    <cellStyle name="Comma 2 2 3 5 2 2" xfId="599" xr:uid="{5683A7F2-613B-479A-9038-97F1C3226770}"/>
    <cellStyle name="Comma 2 2 3 5 2 2 2" xfId="863" xr:uid="{C7CA71C5-1CA6-4271-A8A5-034D2D6FD3FF}"/>
    <cellStyle name="Comma 2 2 3 5 2 2 3" xfId="1124" xr:uid="{28EB33CB-3F3B-4875-B05D-8B6255B26753}"/>
    <cellStyle name="Comma 2 2 3 5 2 2 4" xfId="1390" xr:uid="{CA627C6F-6B08-4381-847E-415B097F7C91}"/>
    <cellStyle name="Comma 2 2 3 5 2 2 5" xfId="1652" xr:uid="{418EEB9F-AAA5-46F9-AE64-CEB5744CD023}"/>
    <cellStyle name="Comma 2 2 3 5 2 2 6" xfId="1918" xr:uid="{1166DB43-AC94-42D9-9FCD-A23499E786F6}"/>
    <cellStyle name="Comma 2 2 3 5 2 3" xfId="734" xr:uid="{520ADB02-CD9E-4F4A-BFC5-9937A0CD09FA}"/>
    <cellStyle name="Comma 2 2 3 5 2 4" xfId="995" xr:uid="{D99A3566-78A2-43EE-A6C2-CA6C6632AF6F}"/>
    <cellStyle name="Comma 2 2 3 5 2 5" xfId="1261" xr:uid="{B2D51259-E935-4A30-BCE7-E89BB80EC433}"/>
    <cellStyle name="Comma 2 2 3 5 2 6" xfId="1523" xr:uid="{3069026F-53DD-4DC6-BCF5-6B900E533691}"/>
    <cellStyle name="Comma 2 2 3 5 2 7" xfId="1789" xr:uid="{274EDD57-CE3C-4ECA-8F99-9A4CC757CAF1}"/>
    <cellStyle name="Comma 2 2 3 5 3" xfId="520" xr:uid="{DEA5E982-ADDD-4DB4-BF18-A703540E30B3}"/>
    <cellStyle name="Comma 2 2 3 5 3 2" xfId="816" xr:uid="{FAD84E1F-1F4B-4391-8ACD-FA1EBA604E80}"/>
    <cellStyle name="Comma 2 2 3 5 3 3" xfId="1077" xr:uid="{F4028EB6-FF0D-4566-80DD-56D1E2BE5432}"/>
    <cellStyle name="Comma 2 2 3 5 3 4" xfId="1343" xr:uid="{A2AC95E5-F6B7-403B-9AF8-AE9A82AEDCFD}"/>
    <cellStyle name="Comma 2 2 3 5 3 5" xfId="1605" xr:uid="{032E6929-D466-4B5E-B0EF-77221F37254A}"/>
    <cellStyle name="Comma 2 2 3 5 3 6" xfId="1871" xr:uid="{A5617C4E-F5FC-4BC6-B775-0E99BFB4470A}"/>
    <cellStyle name="Comma 2 2 3 5 4" xfId="687" xr:uid="{AA24C941-3810-4738-8A8C-560EDAE94AC3}"/>
    <cellStyle name="Comma 2 2 3 5 5" xfId="948" xr:uid="{826826D1-DAF9-4C24-915F-6A56508B2B67}"/>
    <cellStyle name="Comma 2 2 3 5 6" xfId="1214" xr:uid="{51EB2C11-E8B2-417E-AF6D-04E62CB82FB6}"/>
    <cellStyle name="Comma 2 2 3 5 7" xfId="1476" xr:uid="{3D0F3D7C-C970-4CD2-B4EF-DA3DF6DD0EE3}"/>
    <cellStyle name="Comma 2 2 3 5 8" xfId="1742" xr:uid="{4206A9F4-B1FB-459B-BE02-5754C41979F2}"/>
    <cellStyle name="Comma 2 2 3 6" xfId="363" xr:uid="{EE4E0CD3-B8F8-43CC-B49F-0C1A58B1464E}"/>
    <cellStyle name="Comma 2 2 3 6 2" xfId="592" xr:uid="{4C67D163-8301-4842-83D5-3B05A05A6D23}"/>
    <cellStyle name="Comma 2 2 3 6 2 2" xfId="856" xr:uid="{0D9A39B4-3E7A-4420-8650-B83036083799}"/>
    <cellStyle name="Comma 2 2 3 6 2 3" xfId="1117" xr:uid="{59FF39E9-F582-4C66-9CE1-C1993B19D3E3}"/>
    <cellStyle name="Comma 2 2 3 6 2 4" xfId="1383" xr:uid="{06376BF9-1464-43EF-A179-AF0C4422DE98}"/>
    <cellStyle name="Comma 2 2 3 6 2 5" xfId="1645" xr:uid="{8DF7BEA0-605C-4E73-B646-3D2A5A3BAA6A}"/>
    <cellStyle name="Comma 2 2 3 6 2 6" xfId="1911" xr:uid="{3B6A5C6D-2D2E-4B88-8D0F-CDB46D9C5D66}"/>
    <cellStyle name="Comma 2 2 3 6 3" xfId="727" xr:uid="{AD03BB5E-7E79-4E71-9149-843AB4F95C52}"/>
    <cellStyle name="Comma 2 2 3 6 4" xfId="988" xr:uid="{1182ADA1-F929-4679-AE90-F95AF291BB1B}"/>
    <cellStyle name="Comma 2 2 3 6 5" xfId="1254" xr:uid="{A35AE4FC-8EC4-4C55-B207-CA5DC45AD983}"/>
    <cellStyle name="Comma 2 2 3 6 6" xfId="1516" xr:uid="{EE649AE1-1F1E-4C46-813C-1D6F6211FEE7}"/>
    <cellStyle name="Comma 2 2 3 6 7" xfId="1782" xr:uid="{C470D905-C65F-4000-A745-BB2AAD390546}"/>
    <cellStyle name="Comma 2 2 3 7" xfId="261" xr:uid="{AFC25EDE-EDA3-4223-9991-066299913AA0}"/>
    <cellStyle name="Comma 2 2 3 7 2" xfId="507" xr:uid="{910D0701-AE42-49CD-9A51-D230C81CAB4B}"/>
    <cellStyle name="Comma 2 2 3 7 2 2" xfId="805" xr:uid="{ACC74D81-5F19-476C-96DB-01B06DE1DFF3}"/>
    <cellStyle name="Comma 2 2 3 7 2 3" xfId="1066" xr:uid="{3D25DF52-E45D-4E21-BEBB-8100AE87B1F3}"/>
    <cellStyle name="Comma 2 2 3 7 2 4" xfId="1332" xr:uid="{4CDB6B40-287E-454A-85F2-6C9952BE2FF8}"/>
    <cellStyle name="Comma 2 2 3 7 2 5" xfId="1594" xr:uid="{3A78E2CD-07A7-4E7A-9600-08D02CBF6573}"/>
    <cellStyle name="Comma 2 2 3 7 2 6" xfId="1860" xr:uid="{3DE1F58A-6DE6-4CC7-8396-AE1DE6978004}"/>
    <cellStyle name="Comma 2 2 3 7 3" xfId="676" xr:uid="{6F991470-C431-4D65-850F-0E3B5702330E}"/>
    <cellStyle name="Comma 2 2 3 7 4" xfId="937" xr:uid="{C677C70A-7ED3-4676-B554-A9BBCF0D4CE5}"/>
    <cellStyle name="Comma 2 2 3 7 5" xfId="1203" xr:uid="{89EED08A-7747-423A-ABD7-E8F9C43BD01D}"/>
    <cellStyle name="Comma 2 2 3 7 6" xfId="1465" xr:uid="{4B3BF6E5-29B0-4AA8-ABB3-F278C63AC14D}"/>
    <cellStyle name="Comma 2 2 3 7 7" xfId="1731" xr:uid="{E4F1426F-2806-4A5E-B6F2-9753B5A59DA6}"/>
    <cellStyle name="Comma 2 2 3 8" xfId="450" xr:uid="{B98969E4-3F0E-4277-9F5F-AD275832E02D}"/>
    <cellStyle name="Comma 2 2 3 8 2" xfId="769" xr:uid="{7BED2A37-DCDB-4C86-92E5-A1091C793E17}"/>
    <cellStyle name="Comma 2 2 3 8 3" xfId="1030" xr:uid="{A7EF0BD7-04EC-49EE-9F24-999E9CDC6466}"/>
    <cellStyle name="Comma 2 2 3 8 4" xfId="1296" xr:uid="{8B43DBB5-4221-41F9-9929-D914CA006477}"/>
    <cellStyle name="Comma 2 2 3 8 5" xfId="1558" xr:uid="{7671E262-D17B-42E5-A5B0-FC0392577B15}"/>
    <cellStyle name="Comma 2 2 3 8 6" xfId="1824" xr:uid="{24B86EE4-8749-4294-9B50-F525C9A4F1D4}"/>
    <cellStyle name="Comma 2 2 3 9" xfId="638" xr:uid="{2DD32393-EBDF-4F86-920A-FEA4C54427A7}"/>
    <cellStyle name="Comma 2 2 4" xfId="219" xr:uid="{DC0E2431-F774-4A2B-B870-802E1838E262}"/>
    <cellStyle name="Comma 2 2 4 2" xfId="341" xr:uid="{3DBA86EE-B141-4A2D-A0D2-7DEBADFD556E}"/>
    <cellStyle name="Comma 2 2 4 2 2" xfId="572" xr:uid="{D5785723-2EB5-42A7-B6F4-379EE58F9326}"/>
    <cellStyle name="Comma 2 2 4 2 2 2" xfId="837" xr:uid="{6264A723-5F25-48B3-AFBD-F9444AC17972}"/>
    <cellStyle name="Comma 2 2 4 2 2 3" xfId="1098" xr:uid="{159A71FD-42B2-4D6C-B92D-549F1367F159}"/>
    <cellStyle name="Comma 2 2 4 2 2 4" xfId="1364" xr:uid="{B6922DFB-26E6-4F09-AEDD-C1C0F2E604C6}"/>
    <cellStyle name="Comma 2 2 4 2 2 5" xfId="1626" xr:uid="{3EBA5518-54BB-4CC6-84F0-EBFAC18950E2}"/>
    <cellStyle name="Comma 2 2 4 2 2 6" xfId="1892" xr:uid="{6D67429A-2CD4-4216-B582-67AA180FBAD2}"/>
    <cellStyle name="Comma 2 2 4 2 3" xfId="708" xr:uid="{03F57879-C8B1-4552-A11B-DCE92A13823F}"/>
    <cellStyle name="Comma 2 2 4 2 4" xfId="969" xr:uid="{1E92DEDE-A43F-419F-9D67-E4DC345000E7}"/>
    <cellStyle name="Comma 2 2 4 2 5" xfId="1235" xr:uid="{8D204E35-1E8A-46AD-B1D6-DAC14960BE7D}"/>
    <cellStyle name="Comma 2 2 4 2 6" xfId="1497" xr:uid="{6D33EED2-FD07-4FA7-81E3-C579031A62AF}"/>
    <cellStyle name="Comma 2 2 4 2 7" xfId="1763" xr:uid="{0BC88F5A-A728-431D-B25A-90D0617EA74B}"/>
    <cellStyle name="Comma 2 2 4 3" xfId="478" xr:uid="{C4AEB6B7-E22E-4787-8616-507278D66673}"/>
    <cellStyle name="Comma 2 2 4 3 2" xfId="787" xr:uid="{B85A3E23-8D42-4926-AB0A-BE5C412FB9BD}"/>
    <cellStyle name="Comma 2 2 4 3 3" xfId="1048" xr:uid="{3C20EEFE-3334-43DA-BC5E-6A618A959E70}"/>
    <cellStyle name="Comma 2 2 4 3 4" xfId="1314" xr:uid="{69310D13-40D7-4816-9842-5FE817D22B99}"/>
    <cellStyle name="Comma 2 2 4 3 5" xfId="1576" xr:uid="{59AB4BB5-B561-40CF-B704-CE80226AC933}"/>
    <cellStyle name="Comma 2 2 4 3 6" xfId="1842" xr:uid="{3D5B7A10-6DE9-48AF-ACE0-C30CC3B2F5D1}"/>
    <cellStyle name="Comma 2 2 4 4" xfId="658" xr:uid="{378F412C-3F7D-4103-AC47-6A0BBA28CFB1}"/>
    <cellStyle name="Comma 2 2 4 5" xfId="919" xr:uid="{91A1AA09-18C6-42A4-9970-DCAB05B7E1F6}"/>
    <cellStyle name="Comma 2 2 4 6" xfId="1185" xr:uid="{7BBA1DF8-25D0-4F62-9498-748D140A227D}"/>
    <cellStyle name="Comma 2 2 4 7" xfId="1447" xr:uid="{2D075D3E-67F6-4376-9371-9DDBB58F6E6B}"/>
    <cellStyle name="Comma 2 2 4 8" xfId="1713" xr:uid="{5B7E8725-4C38-4A31-AA53-CA575B32EB2E}"/>
    <cellStyle name="Comma 2 2 5" xfId="233" xr:uid="{F8B32FC5-2FD6-4E6A-9F91-6E364FE23A90}"/>
    <cellStyle name="Comma 2 2 5 2" xfId="487" xr:uid="{7DAD6C2B-B789-4511-8D6C-6BE2371DE512}"/>
    <cellStyle name="Comma 2 2 5 2 2" xfId="793" xr:uid="{F338350E-E04B-48D0-9CFD-BB7ABEA6079A}"/>
    <cellStyle name="Comma 2 2 5 2 3" xfId="1054" xr:uid="{1372AE37-91DC-465B-AE8C-19307040627D}"/>
    <cellStyle name="Comma 2 2 5 2 4" xfId="1320" xr:uid="{787D20B5-546E-4A4C-874F-A2B2C3EEEF49}"/>
    <cellStyle name="Comma 2 2 5 2 5" xfId="1582" xr:uid="{C2B11665-CF61-4A71-B16C-5484BC55BDEE}"/>
    <cellStyle name="Comma 2 2 5 2 6" xfId="1848" xr:uid="{0A87AE90-2289-4995-B13F-9FE9D39B787B}"/>
    <cellStyle name="Comma 2 2 5 3" xfId="664" xr:uid="{7BB2C0A4-021E-4CA6-A39E-8E7EDBC8921B}"/>
    <cellStyle name="Comma 2 2 5 4" xfId="925" xr:uid="{61C78174-09EC-47B9-9389-32F93730F455}"/>
    <cellStyle name="Comma 2 2 5 5" xfId="1191" xr:uid="{0FCBE15E-3611-427D-9255-2790DFC9AB0A}"/>
    <cellStyle name="Comma 2 2 5 6" xfId="1453" xr:uid="{A389873D-E2B9-4AC3-827E-3292C138A829}"/>
    <cellStyle name="Comma 2 2 5 7" xfId="1719" xr:uid="{ADA5E5D2-11D5-4D80-8BD8-748800C88D74}"/>
    <cellStyle name="Comma 2 2 6" xfId="183" xr:uid="{BD21E7F4-B89A-40D5-8104-F735AE0F76FD}"/>
    <cellStyle name="Comma 2 2 6 2" xfId="460" xr:uid="{15EF0A0D-B282-4AA3-A9E2-C82CC3DB877F}"/>
    <cellStyle name="Comma 2 2 6 2 2" xfId="775" xr:uid="{F4AE44E9-A40C-4EBA-9072-CA7173317D64}"/>
    <cellStyle name="Comma 2 2 6 2 3" xfId="1036" xr:uid="{52910732-C523-43CA-856E-300204EB91C8}"/>
    <cellStyle name="Comma 2 2 6 2 4" xfId="1302" xr:uid="{949777E1-DC58-4C9D-8B4C-BC86D4B2114B}"/>
    <cellStyle name="Comma 2 2 6 2 5" xfId="1564" xr:uid="{D2096674-6766-4FE5-9CCA-7D7DFDBED9CB}"/>
    <cellStyle name="Comma 2 2 6 2 6" xfId="1830" xr:uid="{8F199569-AEED-4A28-8BFC-3A8FD2E73F64}"/>
    <cellStyle name="Comma 2 2 6 3" xfId="646" xr:uid="{3C77E95F-E19C-487A-9E2D-0C1430AF2007}"/>
    <cellStyle name="Comma 2 2 6 4" xfId="907" xr:uid="{B09C217C-6A55-497F-8BF9-60F71E825742}"/>
    <cellStyle name="Comma 2 2 6 5" xfId="1173" xr:uid="{92A5FD06-767C-41DE-874F-4A271577D73C}"/>
    <cellStyle name="Comma 2 2 6 6" xfId="1435" xr:uid="{829ABCF1-102F-4C49-BEFE-7C7456A44D0A}"/>
    <cellStyle name="Comma 2 2 6 7" xfId="1701" xr:uid="{99A1C62D-654F-4CCB-A6BD-CC626474D2CB}"/>
    <cellStyle name="Comma 2 2 7" xfId="433" xr:uid="{28C21378-6BB6-46FD-8084-62EE9DCFC547}"/>
    <cellStyle name="Comma 2 2 7 2" xfId="765" xr:uid="{5448A233-3656-4FB2-9409-565E0B092A60}"/>
    <cellStyle name="Comma 2 2 7 3" xfId="1026" xr:uid="{86D2DD14-F043-4708-B8D4-4CB24890A773}"/>
    <cellStyle name="Comma 2 2 7 4" xfId="1292" xr:uid="{3152B778-6B81-4E10-A907-31D6DB8FEF8E}"/>
    <cellStyle name="Comma 2 2 7 5" xfId="1554" xr:uid="{659E789E-703A-48B1-9369-69E1CA2A56BC}"/>
    <cellStyle name="Comma 2 2 7 6" xfId="1820" xr:uid="{068CA16F-28D2-49DC-802E-7AC4C4ABC044}"/>
    <cellStyle name="Comma 2 2 8" xfId="634" xr:uid="{C4EAE014-8534-444F-A15F-751A43D595F9}"/>
    <cellStyle name="Comma 2 2 9" xfId="895" xr:uid="{FC7ECB06-3ADF-42CB-BE54-7C4479E4B8F7}"/>
    <cellStyle name="Comma 2 20" xfId="1684" xr:uid="{939D7B01-51FC-46BE-9039-5702753DC46B}"/>
    <cellStyle name="Comma 2 3" xfId="115" xr:uid="{7DA1AE76-9582-4C87-85F4-B93C413E9BD9}"/>
    <cellStyle name="Comma 2 3 10" xfId="896" xr:uid="{139BC35B-3F59-4E15-B181-0D8F471BF997}"/>
    <cellStyle name="Comma 2 3 11" xfId="1162" xr:uid="{9C1A7678-ED56-4CC4-A3DB-EF6068D91882}"/>
    <cellStyle name="Comma 2 3 12" xfId="1424" xr:uid="{C8205D9C-F38C-4576-9EF4-500F22096EC4}"/>
    <cellStyle name="Comma 2 3 13" xfId="1690" xr:uid="{72AA34A4-2C55-4A6F-9036-41E16C4118D1}"/>
    <cellStyle name="Comma 2 3 2" xfId="165" xr:uid="{7BEA72F3-C02B-445C-B81A-A57AFC4490D0}"/>
    <cellStyle name="Comma 2 3 2 2" xfId="390" xr:uid="{6F940A5C-858B-4C0A-BE5A-214AFC30B154}"/>
    <cellStyle name="Comma 2 3 2 2 2" xfId="616" xr:uid="{C7EF1955-0429-4BE1-87CE-5174E2C266A7}"/>
    <cellStyle name="Comma 2 3 2 2 2 2" xfId="880" xr:uid="{87463A4C-97D5-4CAB-A94F-F68891AA6992}"/>
    <cellStyle name="Comma 2 3 2 2 2 3" xfId="1141" xr:uid="{FBFE432A-8B80-472E-9332-D2B2B557A03B}"/>
    <cellStyle name="Comma 2 3 2 2 2 4" xfId="1407" xr:uid="{2CD0DA47-EB9E-4824-BDC2-39F8A630E3B1}"/>
    <cellStyle name="Comma 2 3 2 2 2 5" xfId="1669" xr:uid="{D56772B6-7021-4328-8549-D81832368855}"/>
    <cellStyle name="Comma 2 3 2 2 2 6" xfId="1935" xr:uid="{57D30F28-41EE-429C-A4AE-AC438F958D09}"/>
    <cellStyle name="Comma 2 3 2 2 3" xfId="751" xr:uid="{08F90124-D501-41F0-A130-B0A9F530992E}"/>
    <cellStyle name="Comma 2 3 2 2 4" xfId="1012" xr:uid="{ADDCC8EF-A921-47F2-87FB-0FBFE554519B}"/>
    <cellStyle name="Comma 2 3 2 2 5" xfId="1278" xr:uid="{039945FE-9BCE-4FE3-BB10-5A02374E0E51}"/>
    <cellStyle name="Comma 2 3 2 2 6" xfId="1540" xr:uid="{DA09EC5F-790F-45FA-81AA-35524A9F90BA}"/>
    <cellStyle name="Comma 2 3 2 2 7" xfId="1806" xr:uid="{47528F4C-6D19-4EDB-BA3D-018560A055B3}"/>
    <cellStyle name="Comma 2 3 2 3" xfId="343" xr:uid="{172EF303-9420-48B4-9486-BAD756DD4994}"/>
    <cellStyle name="Comma 2 3 2 3 2" xfId="574" xr:uid="{7819E964-2D6F-4C1B-8108-D4B2504B5669}"/>
    <cellStyle name="Comma 2 3 2 3 2 2" xfId="839" xr:uid="{501D9661-8D12-492C-BFE8-4432BA21E44A}"/>
    <cellStyle name="Comma 2 3 2 3 2 3" xfId="1100" xr:uid="{92290EC8-5D86-4EA8-B663-72BB8D5B120F}"/>
    <cellStyle name="Comma 2 3 2 3 2 4" xfId="1366" xr:uid="{44146716-DCC8-4E48-9ED7-4A45BDA738A3}"/>
    <cellStyle name="Comma 2 3 2 3 2 5" xfId="1628" xr:uid="{406C16DC-0DB0-45DD-8C34-1AD0A4B44C8B}"/>
    <cellStyle name="Comma 2 3 2 3 2 6" xfId="1894" xr:uid="{5A38C3D9-308D-43F6-B658-CCBC0E1968EA}"/>
    <cellStyle name="Comma 2 3 2 3 3" xfId="710" xr:uid="{062DFCA3-7764-4F62-B033-A2BE40F40972}"/>
    <cellStyle name="Comma 2 3 2 3 4" xfId="971" xr:uid="{4E65AF30-E720-4888-A5FD-69B99B5DE673}"/>
    <cellStyle name="Comma 2 3 2 3 5" xfId="1237" xr:uid="{04C687DB-4959-4F6C-98BF-75B922557A24}"/>
    <cellStyle name="Comma 2 3 2 3 6" xfId="1499" xr:uid="{66AFD087-A579-45DB-924E-53EE70D56328}"/>
    <cellStyle name="Comma 2 3 2 3 7" xfId="1765" xr:uid="{16C6B5BB-424A-4023-B1D1-5E15A5A4ADA0}"/>
    <cellStyle name="Comma 2 3 2 4" xfId="451" xr:uid="{6A9ED8BE-9B5D-41DF-82F5-184E18D0F590}"/>
    <cellStyle name="Comma 2 3 2 4 2" xfId="770" xr:uid="{363625B6-D253-4D6F-94A3-D8A9BA3B9427}"/>
    <cellStyle name="Comma 2 3 2 4 3" xfId="1031" xr:uid="{2CEBF171-48D3-4BFA-B53F-99C518D4779C}"/>
    <cellStyle name="Comma 2 3 2 4 4" xfId="1297" xr:uid="{FC107F47-2221-4EE2-AB85-BF33C68656DC}"/>
    <cellStyle name="Comma 2 3 2 4 5" xfId="1559" xr:uid="{244AF170-2251-4C56-99D0-0A0056C12876}"/>
    <cellStyle name="Comma 2 3 2 4 6" xfId="1825" xr:uid="{807908E2-04D3-45D6-A318-70F650FA2C1B}"/>
    <cellStyle name="Comma 2 3 2 5" xfId="639" xr:uid="{368208EF-F9EE-4C02-AFA4-CAEE935FC4F1}"/>
    <cellStyle name="Comma 2 3 2 6" xfId="900" xr:uid="{758ACA18-1023-41AD-9B33-498C902B083E}"/>
    <cellStyle name="Comma 2 3 2 7" xfId="1166" xr:uid="{62D93FE9-437A-40E1-AB36-B524343234C5}"/>
    <cellStyle name="Comma 2 3 2 8" xfId="1428" xr:uid="{0849AB52-18CD-4904-A49D-C67611352612}"/>
    <cellStyle name="Comma 2 3 2 9" xfId="1694" xr:uid="{1862985A-2A16-4A35-B1A2-F88E69C11170}"/>
    <cellStyle name="Comma 2 3 3" xfId="333" xr:uid="{F57163C9-6472-413F-9C79-F7F6A10FF324}"/>
    <cellStyle name="Comma 2 3 3 2" xfId="383" xr:uid="{012567DD-6F9D-4BD5-845C-986813B01E9E}"/>
    <cellStyle name="Comma 2 3 3 2 2" xfId="609" xr:uid="{784D08C7-18C9-4E4E-9B91-40CE3832F5BC}"/>
    <cellStyle name="Comma 2 3 3 2 2 2" xfId="873" xr:uid="{1B5AA5FC-8C67-4BA4-B5EB-852A5B5746B5}"/>
    <cellStyle name="Comma 2 3 3 2 2 3" xfId="1134" xr:uid="{404271B8-7869-4639-9779-8C280A55E12F}"/>
    <cellStyle name="Comma 2 3 3 2 2 4" xfId="1400" xr:uid="{F70C7F07-2D76-4AEE-96D2-1B0E01638C3D}"/>
    <cellStyle name="Comma 2 3 3 2 2 5" xfId="1662" xr:uid="{C1338DFB-6035-4D1F-A4E6-B2BF941E55D7}"/>
    <cellStyle name="Comma 2 3 3 2 2 6" xfId="1928" xr:uid="{73B82248-90B5-4219-9071-D53FF7CFBB96}"/>
    <cellStyle name="Comma 2 3 3 2 3" xfId="744" xr:uid="{A7AD8B80-FDA5-40E4-A32D-BB6530A9AB24}"/>
    <cellStyle name="Comma 2 3 3 2 4" xfId="1005" xr:uid="{8D964EBB-D39C-4B69-9648-C39ED2F134A7}"/>
    <cellStyle name="Comma 2 3 3 2 5" xfId="1271" xr:uid="{31E3F04C-32FA-4D2D-BAB1-6F261869D542}"/>
    <cellStyle name="Comma 2 3 3 2 6" xfId="1533" xr:uid="{FD5B5A9C-CFC1-41F7-B454-DD62935CE1DD}"/>
    <cellStyle name="Comma 2 3 3 2 7" xfId="1799" xr:uid="{A4C26110-FAD7-4EEA-B96D-E845529274E7}"/>
    <cellStyle name="Comma 2 3 3 3" xfId="564" xr:uid="{DE304B8E-26FC-4859-B132-0B0148F8C3B2}"/>
    <cellStyle name="Comma 2 3 3 3 2" xfId="830" xr:uid="{9560682C-DD74-402D-8B36-FD84C54A5447}"/>
    <cellStyle name="Comma 2 3 3 3 3" xfId="1091" xr:uid="{FED7A269-BB36-4C00-B035-77C516127723}"/>
    <cellStyle name="Comma 2 3 3 3 4" xfId="1357" xr:uid="{DA06BBB6-3484-4D32-943E-0E682FF532C1}"/>
    <cellStyle name="Comma 2 3 3 3 5" xfId="1619" xr:uid="{EC0799D1-EC48-4CAB-B2B2-96DD873874A4}"/>
    <cellStyle name="Comma 2 3 3 3 6" xfId="1885" xr:uid="{BAAFE7F4-50AA-40E8-A877-0BCB7B098224}"/>
    <cellStyle name="Comma 2 3 3 4" xfId="701" xr:uid="{9D9FC8BF-DEE3-4964-8197-E8C5F9DDEB7D}"/>
    <cellStyle name="Comma 2 3 3 5" xfId="962" xr:uid="{D8A7737A-2748-4646-8E18-459A7ABE699E}"/>
    <cellStyle name="Comma 2 3 3 6" xfId="1228" xr:uid="{81F53D3C-6C48-46F9-81D2-BF3CA45AA4B9}"/>
    <cellStyle name="Comma 2 3 3 7" xfId="1490" xr:uid="{A035C7D5-70E1-415A-BFD9-DDD8E18C811C}"/>
    <cellStyle name="Comma 2 3 3 8" xfId="1756" xr:uid="{17BA82DB-3C25-4A39-ADC4-4D62595E3F43}"/>
    <cellStyle name="Comma 2 3 4" xfId="279" xr:uid="{0FC919D0-B9F4-4CBF-B4E6-577332912638}"/>
    <cellStyle name="Comma 2 3 4 2" xfId="371" xr:uid="{C4B37B89-A562-4326-B594-07D6C8DD231B}"/>
    <cellStyle name="Comma 2 3 4 2 2" xfId="598" xr:uid="{CE582EB3-53BD-4841-A135-37A2A972D484}"/>
    <cellStyle name="Comma 2 3 4 2 2 2" xfId="862" xr:uid="{D7071416-612D-46A3-A454-E1484DB8207F}"/>
    <cellStyle name="Comma 2 3 4 2 2 3" xfId="1123" xr:uid="{3F4BD574-4C0B-49DC-B17C-8A22CD8DF349}"/>
    <cellStyle name="Comma 2 3 4 2 2 4" xfId="1389" xr:uid="{42F7A6F1-15EA-4E68-B3CC-7ED7AD876908}"/>
    <cellStyle name="Comma 2 3 4 2 2 5" xfId="1651" xr:uid="{69E711CB-9260-4537-9DD7-27E225EAFAE3}"/>
    <cellStyle name="Comma 2 3 4 2 2 6" xfId="1917" xr:uid="{5009BFDF-8BD2-4014-BA03-EDBF6FC57365}"/>
    <cellStyle name="Comma 2 3 4 2 3" xfId="733" xr:uid="{00E7FE9C-0FC8-4E51-9DA6-B3B5AF53F5CF}"/>
    <cellStyle name="Comma 2 3 4 2 4" xfId="994" xr:uid="{191B2055-7DAB-4829-B889-AEF6070780AE}"/>
    <cellStyle name="Comma 2 3 4 2 5" xfId="1260" xr:uid="{8FB98BDD-DD10-404C-BB0C-A2FB7231944C}"/>
    <cellStyle name="Comma 2 3 4 2 6" xfId="1522" xr:uid="{8A64BF44-D254-46F6-B78E-ECA151F43FBC}"/>
    <cellStyle name="Comma 2 3 4 2 7" xfId="1788" xr:uid="{2F9D17F6-AA3E-40E8-BAB3-91269DB36459}"/>
    <cellStyle name="Comma 2 3 4 3" xfId="517" xr:uid="{0C418584-F228-4D8C-A956-76C507776D97}"/>
    <cellStyle name="Comma 2 3 4 3 2" xfId="814" xr:uid="{A4C3F44C-256D-4463-8E5F-79DE46B84E3A}"/>
    <cellStyle name="Comma 2 3 4 3 3" xfId="1075" xr:uid="{EAAF6522-6DDC-4DC1-A07B-460C8E897239}"/>
    <cellStyle name="Comma 2 3 4 3 4" xfId="1341" xr:uid="{3DAEA96D-65CB-4D61-8D14-5792582C2034}"/>
    <cellStyle name="Comma 2 3 4 3 5" xfId="1603" xr:uid="{9DED95E8-14E0-417D-87A1-A87896C74EDE}"/>
    <cellStyle name="Comma 2 3 4 3 6" xfId="1869" xr:uid="{621A86F2-EE89-473A-BD08-C8FD6174AA96}"/>
    <cellStyle name="Comma 2 3 4 4" xfId="685" xr:uid="{50D53A60-835C-4ED6-A326-FB559CC9329C}"/>
    <cellStyle name="Comma 2 3 4 5" xfId="946" xr:uid="{7563B62C-77F0-465B-94E7-369BB4092F27}"/>
    <cellStyle name="Comma 2 3 4 6" xfId="1212" xr:uid="{4B234F70-6CA3-40A8-8284-E92CA5E8D4B9}"/>
    <cellStyle name="Comma 2 3 4 7" xfId="1474" xr:uid="{262DD235-331E-46BC-8178-3B5CC76F55B4}"/>
    <cellStyle name="Comma 2 3 4 8" xfId="1740" xr:uid="{9F42CBB1-948A-480C-96BC-7560E5BDAEB6}"/>
    <cellStyle name="Comma 2 3 5" xfId="259" xr:uid="{13550901-20EF-4AFF-8DEF-9A82FA0094BD}"/>
    <cellStyle name="Comma 2 3 5 2" xfId="362" xr:uid="{97940286-0E32-4434-A179-056BABDF6545}"/>
    <cellStyle name="Comma 2 3 5 2 2" xfId="591" xr:uid="{BFA798DA-D632-426C-BA13-F8FF4F66A0B3}"/>
    <cellStyle name="Comma 2 3 5 2 2 2" xfId="855" xr:uid="{ED877467-C936-4B92-BB69-66242F7699DD}"/>
    <cellStyle name="Comma 2 3 5 2 2 3" xfId="1116" xr:uid="{278CF7F4-56D0-4DFD-8782-A11530A51218}"/>
    <cellStyle name="Comma 2 3 5 2 2 4" xfId="1382" xr:uid="{FCE19374-0C88-4DCA-8398-3EB10AA0AEFD}"/>
    <cellStyle name="Comma 2 3 5 2 2 5" xfId="1644" xr:uid="{52470004-EC59-4F18-BCFA-50EB71BCF11D}"/>
    <cellStyle name="Comma 2 3 5 2 2 6" xfId="1910" xr:uid="{9B222A73-1A13-4817-8138-15B5314D8A12}"/>
    <cellStyle name="Comma 2 3 5 2 3" xfId="726" xr:uid="{8BE9C0E6-768A-42F8-9DFA-E8506EE70D05}"/>
    <cellStyle name="Comma 2 3 5 2 4" xfId="987" xr:uid="{1F8AC867-02FE-4FDD-B264-A301EA238D60}"/>
    <cellStyle name="Comma 2 3 5 2 5" xfId="1253" xr:uid="{BB1B2F95-7DC3-455E-B200-E9B7A7376D68}"/>
    <cellStyle name="Comma 2 3 5 2 6" xfId="1515" xr:uid="{F4E00053-8A2A-475B-9D73-B4C97C281ABF}"/>
    <cellStyle name="Comma 2 3 5 2 7" xfId="1781" xr:uid="{DBA5511C-A08E-434E-B1BC-BCD51A0E08C2}"/>
    <cellStyle name="Comma 2 3 5 3" xfId="505" xr:uid="{D5C84420-F550-4409-84A2-A309418A9E69}"/>
    <cellStyle name="Comma 2 3 5 3 2" xfId="804" xr:uid="{3F9F058E-3BE3-444E-B9DC-26F2A60D78EF}"/>
    <cellStyle name="Comma 2 3 5 3 3" xfId="1065" xr:uid="{91B741ED-5E69-4112-91E3-236AD3FCFD43}"/>
    <cellStyle name="Comma 2 3 5 3 4" xfId="1331" xr:uid="{02AE1703-258A-4C18-9629-603DBA7484A4}"/>
    <cellStyle name="Comma 2 3 5 3 5" xfId="1593" xr:uid="{6CD69148-3E70-4794-9D8D-1CBC2B9DE2BE}"/>
    <cellStyle name="Comma 2 3 5 3 6" xfId="1859" xr:uid="{82AC6DF6-F7EB-4BBF-81C0-D31BA182DFF0}"/>
    <cellStyle name="Comma 2 3 5 4" xfId="675" xr:uid="{295D1190-FD51-41E5-8F6A-EE9857D0A1FD}"/>
    <cellStyle name="Comma 2 3 5 5" xfId="936" xr:uid="{300E8A5F-6EF4-411F-833F-A55805C525EB}"/>
    <cellStyle name="Comma 2 3 5 6" xfId="1202" xr:uid="{182A0715-376F-41AE-A473-DA62DFA84AE0}"/>
    <cellStyle name="Comma 2 3 5 7" xfId="1464" xr:uid="{21E1D16B-39A8-4F67-AAAA-616DAABC4F86}"/>
    <cellStyle name="Comma 2 3 5 8" xfId="1730" xr:uid="{EBE26254-1AE4-4B84-9C61-3908E163CEEC}"/>
    <cellStyle name="Comma 2 3 6" xfId="357" xr:uid="{0EF79414-2309-48A7-A02A-ED254450299C}"/>
    <cellStyle name="Comma 2 3 6 2" xfId="588" xr:uid="{58251946-42F5-47F8-A9A0-0D20C2381C91}"/>
    <cellStyle name="Comma 2 3 6 2 2" xfId="852" xr:uid="{6C8FD1CF-5CF7-4F41-8CB2-2948188E50EE}"/>
    <cellStyle name="Comma 2 3 6 2 3" xfId="1113" xr:uid="{6D2A6C11-822D-400A-AC9B-3EC1E4701CA3}"/>
    <cellStyle name="Comma 2 3 6 2 4" xfId="1379" xr:uid="{CBDB559B-2D8C-4F0F-915C-C60761475474}"/>
    <cellStyle name="Comma 2 3 6 2 5" xfId="1641" xr:uid="{64EAFDD2-0F65-4385-8C34-F1D49BBEEA55}"/>
    <cellStyle name="Comma 2 3 6 2 6" xfId="1907" xr:uid="{D6385CD5-7138-42F7-BE78-9D279A992F7F}"/>
    <cellStyle name="Comma 2 3 6 3" xfId="723" xr:uid="{F4F0ACDC-19F9-4B58-A286-29F142EF1DA3}"/>
    <cellStyle name="Comma 2 3 6 4" xfId="984" xr:uid="{BB7D19D3-F933-43E6-BCA9-52F99CE850F1}"/>
    <cellStyle name="Comma 2 3 6 5" xfId="1250" xr:uid="{E0592689-5B83-4096-BE0B-958C343B746B}"/>
    <cellStyle name="Comma 2 3 6 6" xfId="1512" xr:uid="{05759258-14A6-4FD1-878A-06EDB77BF29E}"/>
    <cellStyle name="Comma 2 3 6 7" xfId="1778" xr:uid="{A5A1D4D2-D82C-416E-9A2F-50977E1BEE7A}"/>
    <cellStyle name="Comma 2 3 7" xfId="251" xr:uid="{C4A3A386-4AEE-4365-8BCF-B117717801FB}"/>
    <cellStyle name="Comma 2 3 7 2" xfId="500" xr:uid="{4A4DE712-FEF5-4813-A8B1-62536AFC7C08}"/>
    <cellStyle name="Comma 2 3 7 2 2" xfId="800" xr:uid="{DD1E6ACD-E411-4A72-9C1B-7AB5B65ECF24}"/>
    <cellStyle name="Comma 2 3 7 2 3" xfId="1061" xr:uid="{83654FD9-07CC-4F84-8593-56C7E4FD5E4C}"/>
    <cellStyle name="Comma 2 3 7 2 4" xfId="1327" xr:uid="{972C0A5F-D257-44A0-A6A4-B70484E2A2FB}"/>
    <cellStyle name="Comma 2 3 7 2 5" xfId="1589" xr:uid="{BB13337F-ECCD-4547-AD23-EDD29DACFE01}"/>
    <cellStyle name="Comma 2 3 7 2 6" xfId="1855" xr:uid="{DA0A17E1-892C-45F1-9997-0E5FA1781F2E}"/>
    <cellStyle name="Comma 2 3 7 3" xfId="671" xr:uid="{F816F84E-4998-4FEC-8E57-5A11A576E81D}"/>
    <cellStyle name="Comma 2 3 7 4" xfId="932" xr:uid="{8DE49B33-EA51-4554-B63D-DFD004BF401F}"/>
    <cellStyle name="Comma 2 3 7 5" xfId="1198" xr:uid="{EA939416-46F9-44A3-BC58-7CCAE0C5E84E}"/>
    <cellStyle name="Comma 2 3 7 6" xfId="1460" xr:uid="{4F1E9DFC-A4ED-4DDC-9091-B0B1D6713B6D}"/>
    <cellStyle name="Comma 2 3 7 7" xfId="1726" xr:uid="{3637DE63-26AF-40D7-9595-F146C844051F}"/>
    <cellStyle name="Comma 2 3 8" xfId="434" xr:uid="{EBDE28CD-6D8D-4917-B61A-91B1A6A8D3C7}"/>
    <cellStyle name="Comma 2 3 8 2" xfId="766" xr:uid="{8C30C060-C5F3-4B26-AAFF-B52D5140A6AA}"/>
    <cellStyle name="Comma 2 3 8 3" xfId="1027" xr:uid="{0E662056-06D8-4674-A854-A6908C97DE52}"/>
    <cellStyle name="Comma 2 3 8 4" xfId="1293" xr:uid="{23AE2E27-B326-4CD1-9E01-631771B67DDB}"/>
    <cellStyle name="Comma 2 3 8 5" xfId="1555" xr:uid="{93213175-793B-4613-BF23-7CE35AA7AB17}"/>
    <cellStyle name="Comma 2 3 8 6" xfId="1821" xr:uid="{E4544839-DAAE-4C3E-B84C-C06E5422D008}"/>
    <cellStyle name="Comma 2 3 9" xfId="635" xr:uid="{65384F3A-2EC8-4AF8-9A5D-B44A283C680E}"/>
    <cellStyle name="Comma 2 4" xfId="68" xr:uid="{3F0D81AE-8455-4803-974B-783E609805FF}"/>
    <cellStyle name="Comma 2 4 2" xfId="345" xr:uid="{2CF71B78-6DC2-49E1-A51B-28E456E66C95}"/>
    <cellStyle name="Comma 2 4 2 2" xfId="576" xr:uid="{D97F9B70-5BAA-4A01-BCEE-BF299524EE1F}"/>
    <cellStyle name="Comma 2 4 2 2 2" xfId="841" xr:uid="{54A9988E-4A6D-4C56-8FE2-4AE1C717432A}"/>
    <cellStyle name="Comma 2 4 2 2 3" xfId="1102" xr:uid="{7996DD59-C4DB-4D9B-9442-1074BF5CF30A}"/>
    <cellStyle name="Comma 2 4 2 2 4" xfId="1368" xr:uid="{59C92368-F3EA-49A5-BEFC-B61760E97148}"/>
    <cellStyle name="Comma 2 4 2 2 5" xfId="1630" xr:uid="{13F92975-C479-4A97-8616-0583E97297BB}"/>
    <cellStyle name="Comma 2 4 2 2 6" xfId="1896" xr:uid="{ED4947A1-8665-4E46-B50D-88CE2B90A0B0}"/>
    <cellStyle name="Comma 2 4 2 3" xfId="712" xr:uid="{F843818E-0388-45EC-A3CC-6E838F7A9C79}"/>
    <cellStyle name="Comma 2 4 2 4" xfId="973" xr:uid="{F0065D7C-20FF-4869-BCDF-51302A862311}"/>
    <cellStyle name="Comma 2 4 2 5" xfId="1239" xr:uid="{FCFB61AF-0F57-4E1C-AF1F-4F6E552A0918}"/>
    <cellStyle name="Comma 2 4 2 6" xfId="1501" xr:uid="{9EF3EE7D-278F-4AE2-8B5A-3A40851EB82E}"/>
    <cellStyle name="Comma 2 4 2 7" xfId="1767" xr:uid="{87FFD692-8AD0-4B09-B350-B9A03405915C}"/>
    <cellStyle name="Comma 2 4 3" xfId="194" xr:uid="{34AD6B5D-1901-47EE-829A-CCF0743CFCA3}"/>
    <cellStyle name="Comma 2 4 3 2" xfId="464" xr:uid="{53A1E1D9-A5B8-4C3B-B64A-AECBB5201834}"/>
    <cellStyle name="Comma 2 4 3 2 2" xfId="778" xr:uid="{15C2E601-2993-4A07-8184-3FECF53DDE6F}"/>
    <cellStyle name="Comma 2 4 3 2 3" xfId="1039" xr:uid="{AE981B9A-9BA2-42D3-8B46-45797D805B25}"/>
    <cellStyle name="Comma 2 4 3 2 4" xfId="1305" xr:uid="{6B19034F-CC4D-49F5-BB7A-0AE494221FCB}"/>
    <cellStyle name="Comma 2 4 3 2 5" xfId="1567" xr:uid="{3B5E15EE-F2ED-49E7-9861-4227E5C2FF37}"/>
    <cellStyle name="Comma 2 4 3 2 6" xfId="1833" xr:uid="{3B312BBA-0F25-46EF-9866-BCB195737061}"/>
    <cellStyle name="Comma 2 4 3 3" xfId="649" xr:uid="{D5405229-ACD0-48D1-8235-82E0C832BAF8}"/>
    <cellStyle name="Comma 2 4 3 4" xfId="910" xr:uid="{F26BE6F6-6F88-4AB4-9045-86238B889792}"/>
    <cellStyle name="Comma 2 4 3 5" xfId="1176" xr:uid="{C1FE24A4-DA13-4EE7-A305-2230024A52CC}"/>
    <cellStyle name="Comma 2 4 3 6" xfId="1438" xr:uid="{809AEF82-E829-433E-9555-83CA6190DA21}"/>
    <cellStyle name="Comma 2 4 3 7" xfId="1704" xr:uid="{8944ED11-8A51-450D-A5A9-5DE1A9035211}"/>
    <cellStyle name="Comma 2 4 4" xfId="418" xr:uid="{58E348CB-ACFB-4834-B63F-5C094A4F5363}"/>
    <cellStyle name="Comma 2 4 4 2" xfId="763" xr:uid="{3B0D18CC-1919-43ED-B607-693829205603}"/>
    <cellStyle name="Comma 2 4 4 3" xfId="1024" xr:uid="{582A4206-3B14-41F0-B45F-DF0BA67FE931}"/>
    <cellStyle name="Comma 2 4 4 4" xfId="1290" xr:uid="{1290A012-2479-4E99-AC87-73B11FBE3019}"/>
    <cellStyle name="Comma 2 4 4 5" xfId="1552" xr:uid="{CC95ABFD-534C-49C3-8026-15E184DA63F6}"/>
    <cellStyle name="Comma 2 4 4 6" xfId="1818" xr:uid="{33F62CF6-D74D-4383-9AC7-1CC014DBB94A}"/>
    <cellStyle name="Comma 2 4 5" xfId="632" xr:uid="{D3F60F18-55B1-4951-AD83-12CF5343AB81}"/>
    <cellStyle name="Comma 2 4 6" xfId="893" xr:uid="{9356A817-1FC8-4EA3-A27A-65AEEF56B78D}"/>
    <cellStyle name="Comma 2 4 7" xfId="1159" xr:uid="{CB6DE206-96F4-4DAF-9EB0-4BFF5C6F5B47}"/>
    <cellStyle name="Comma 2 4 8" xfId="1421" xr:uid="{C8F73D3A-1FED-4902-880A-6C95C119AF04}"/>
    <cellStyle name="Comma 2 4 9" xfId="1687" xr:uid="{5150A894-2673-4C08-BA7A-47BE9A00938C}"/>
    <cellStyle name="Comma 2 5" xfId="210" xr:uid="{DFA6B580-0C6E-4E27-B2E5-017F6ED8721B}"/>
    <cellStyle name="Comma 2 5 10" xfId="1181" xr:uid="{D31ED8DC-1075-4FA1-A017-7E3B37679B25}"/>
    <cellStyle name="Comma 2 5 11" xfId="1443" xr:uid="{B9F4685F-EA50-4E62-8A95-CD7B92B448FB}"/>
    <cellStyle name="Comma 2 5 12" xfId="1709" xr:uid="{19324861-4A11-46E6-A3CC-6AC2AD6C2E33}"/>
    <cellStyle name="Comma 2 5 2" xfId="352" xr:uid="{D3D02F51-09F3-4F8F-9B85-14B13512E377}"/>
    <cellStyle name="Comma 2 5 2 2" xfId="393" xr:uid="{CC25F152-3E36-4B10-8F4F-F52EC5105E08}"/>
    <cellStyle name="Comma 2 5 2 2 2" xfId="619" xr:uid="{F1CD94E9-B7D1-4257-91B6-C092B55DCD0C}"/>
    <cellStyle name="Comma 2 5 2 2 2 2" xfId="883" xr:uid="{E9601275-FC04-4089-AE7C-A50A6AC19E97}"/>
    <cellStyle name="Comma 2 5 2 2 2 3" xfId="1144" xr:uid="{F3F64669-A7F2-4F56-A63E-746647B32979}"/>
    <cellStyle name="Comma 2 5 2 2 2 4" xfId="1410" xr:uid="{4B300027-5AEB-442A-908A-E02D4A01F2D9}"/>
    <cellStyle name="Comma 2 5 2 2 2 5" xfId="1672" xr:uid="{CDFD19E6-7942-4CF3-BC02-F2A503773A64}"/>
    <cellStyle name="Comma 2 5 2 2 2 6" xfId="1938" xr:uid="{A50D7CD8-AEF7-4B1A-9F9D-D9C242FFB27B}"/>
    <cellStyle name="Comma 2 5 2 2 3" xfId="754" xr:uid="{F30A5730-5521-415F-A11D-10B9A6827381}"/>
    <cellStyle name="Comma 2 5 2 2 4" xfId="1015" xr:uid="{DC683721-FE7C-4F30-A7AA-17D75A5DFB1B}"/>
    <cellStyle name="Comma 2 5 2 2 5" xfId="1281" xr:uid="{9E12FA1D-B827-4799-A996-681B87AE0070}"/>
    <cellStyle name="Comma 2 5 2 2 6" xfId="1543" xr:uid="{1499FC67-201F-40C7-B8C5-AB4A150C9DFD}"/>
    <cellStyle name="Comma 2 5 2 2 7" xfId="1809" xr:uid="{E50D988D-4D41-44E9-B14D-FC37EF3065C1}"/>
    <cellStyle name="Comma 2 5 2 3" xfId="583" xr:uid="{13DCF797-8722-493D-B4F7-DC96C6ADADBA}"/>
    <cellStyle name="Comma 2 5 2 3 2" xfId="847" xr:uid="{D5A1B13F-9E17-4E1D-A506-5D484040E06C}"/>
    <cellStyle name="Comma 2 5 2 3 3" xfId="1108" xr:uid="{8601649C-5C4A-44D7-9C2B-68CD2382C8B6}"/>
    <cellStyle name="Comma 2 5 2 3 4" xfId="1374" xr:uid="{23D718B8-F374-41BD-A352-CF5F3AC80380}"/>
    <cellStyle name="Comma 2 5 2 3 5" xfId="1636" xr:uid="{6AA1A31D-3FED-4AE2-A42F-ABC4C2C4F4C0}"/>
    <cellStyle name="Comma 2 5 2 3 6" xfId="1902" xr:uid="{78AF4B99-1CF7-436A-B255-4018406A25DE}"/>
    <cellStyle name="Comma 2 5 2 4" xfId="718" xr:uid="{4356CB05-836E-4BFD-A6AF-2A099CCA17EC}"/>
    <cellStyle name="Comma 2 5 2 5" xfId="979" xr:uid="{EC13C8E4-D9E8-4E29-BE28-0DA01DA344FD}"/>
    <cellStyle name="Comma 2 5 2 6" xfId="1245" xr:uid="{A3933D37-F43C-4118-A7E4-B2B51E88C634}"/>
    <cellStyle name="Comma 2 5 2 7" xfId="1507" xr:uid="{E85C461F-E4AB-4EB1-85AF-3D98677F18F7}"/>
    <cellStyle name="Comma 2 5 2 8" xfId="1773" xr:uid="{1A11CE46-7850-4B1E-9363-3D689E427E3C}"/>
    <cellStyle name="Comma 2 5 3" xfId="336" xr:uid="{02ACF6D6-5308-4E3C-BAA7-C880289D81E9}"/>
    <cellStyle name="Comma 2 5 3 2" xfId="386" xr:uid="{718D5BC3-0947-452A-A4F0-D165692F7B6F}"/>
    <cellStyle name="Comma 2 5 3 2 2" xfId="612" xr:uid="{5D2E926A-378A-45E2-AB3E-BB5F40519AFC}"/>
    <cellStyle name="Comma 2 5 3 2 2 2" xfId="876" xr:uid="{127F64F6-F766-4064-A586-9673F4D52408}"/>
    <cellStyle name="Comma 2 5 3 2 2 3" xfId="1137" xr:uid="{CE5CFB0C-69C4-4EC4-AC86-0F3611673083}"/>
    <cellStyle name="Comma 2 5 3 2 2 4" xfId="1403" xr:uid="{9CBA6A01-E83E-4663-B47C-CF5E5FCAA726}"/>
    <cellStyle name="Comma 2 5 3 2 2 5" xfId="1665" xr:uid="{07C9BD40-77A4-408F-A117-064D639DAD70}"/>
    <cellStyle name="Comma 2 5 3 2 2 6" xfId="1931" xr:uid="{45207061-A49D-4255-9F99-4A95FF755DA3}"/>
    <cellStyle name="Comma 2 5 3 2 3" xfId="747" xr:uid="{5B63912F-C5E7-4CFB-813A-1FFAA96562C2}"/>
    <cellStyle name="Comma 2 5 3 2 4" xfId="1008" xr:uid="{B634FD2F-C44D-4B1A-83B0-F309C2C828CB}"/>
    <cellStyle name="Comma 2 5 3 2 5" xfId="1274" xr:uid="{48434A62-1A3F-43E9-8F0B-2589C756A58C}"/>
    <cellStyle name="Comma 2 5 3 2 6" xfId="1536" xr:uid="{0681FA54-264A-4E5C-8C0A-01C7B9DD34A2}"/>
    <cellStyle name="Comma 2 5 3 2 7" xfId="1802" xr:uid="{5FFD3B9F-4850-400D-BAC6-D6CA9A8650D7}"/>
    <cellStyle name="Comma 2 5 3 3" xfId="567" xr:uid="{E9FE25D2-5960-4C92-A7A5-5D5181B9D1BA}"/>
    <cellStyle name="Comma 2 5 3 3 2" xfId="833" xr:uid="{72DA7C45-F44D-4914-9004-D3BF7AA5BB45}"/>
    <cellStyle name="Comma 2 5 3 3 3" xfId="1094" xr:uid="{286E5B98-41B9-44B5-A98C-B83A5BB9DCF7}"/>
    <cellStyle name="Comma 2 5 3 3 4" xfId="1360" xr:uid="{D6DBB4D8-6882-48BA-ABBC-AA83B388CCF5}"/>
    <cellStyle name="Comma 2 5 3 3 5" xfId="1622" xr:uid="{137139EC-8225-4590-A5C8-A9838ED06985}"/>
    <cellStyle name="Comma 2 5 3 3 6" xfId="1888" xr:uid="{8A1893A0-17D2-4606-AD09-16BB7272BC42}"/>
    <cellStyle name="Comma 2 5 3 4" xfId="704" xr:uid="{8FB103B5-6E7D-4459-8ECE-0E65A7FE1942}"/>
    <cellStyle name="Comma 2 5 3 5" xfId="965" xr:uid="{A2A80B41-8892-4796-B654-86EBA5CC8D4E}"/>
    <cellStyle name="Comma 2 5 3 6" xfId="1231" xr:uid="{CE8CC2AD-9029-4FF1-8D43-9E4A795D3301}"/>
    <cellStyle name="Comma 2 5 3 7" xfId="1493" xr:uid="{42736A3F-4271-4233-8629-50B40D7AC5B9}"/>
    <cellStyle name="Comma 2 5 3 8" xfId="1759" xr:uid="{2DDE411B-B038-4FEB-946D-70FB80C9F0B5}"/>
    <cellStyle name="Comma 2 5 4" xfId="286" xr:uid="{F110AEE5-6C22-4CA1-84D0-FCB75E891C96}"/>
    <cellStyle name="Comma 2 5 4 2" xfId="374" xr:uid="{AACE4266-19A6-4D2E-9661-B352DD0D34AC}"/>
    <cellStyle name="Comma 2 5 4 2 2" xfId="601" xr:uid="{CC51D89A-1DC7-4674-AFDE-96DD11C540D3}"/>
    <cellStyle name="Comma 2 5 4 2 2 2" xfId="865" xr:uid="{9070628C-A68F-4687-84A9-977C3B08025C}"/>
    <cellStyle name="Comma 2 5 4 2 2 3" xfId="1126" xr:uid="{BBB9DD11-E43D-4A66-B73F-9C7360FDBE3D}"/>
    <cellStyle name="Comma 2 5 4 2 2 4" xfId="1392" xr:uid="{58084682-15AE-4327-8223-8E92081F3F81}"/>
    <cellStyle name="Comma 2 5 4 2 2 5" xfId="1654" xr:uid="{AB4F8079-F17C-4D7D-926C-5BEB221D4E95}"/>
    <cellStyle name="Comma 2 5 4 2 2 6" xfId="1920" xr:uid="{6B96F3A8-B816-42F9-A4BC-ACCBF83F4623}"/>
    <cellStyle name="Comma 2 5 4 2 3" xfId="736" xr:uid="{2D94B593-76EB-42AA-9D1A-8AF1BBA106D1}"/>
    <cellStyle name="Comma 2 5 4 2 4" xfId="997" xr:uid="{CB8B3BEE-A9E5-45C7-9A92-44D8C16A4002}"/>
    <cellStyle name="Comma 2 5 4 2 5" xfId="1263" xr:uid="{BBBB7DE7-7B6E-4BAE-BCC1-2C7499AF2A79}"/>
    <cellStyle name="Comma 2 5 4 2 6" xfId="1525" xr:uid="{8FE95688-769D-4CCF-A59B-84F3536C3F09}"/>
    <cellStyle name="Comma 2 5 4 2 7" xfId="1791" xr:uid="{30EBEDAE-C96C-46C6-AE10-5F2336355EB1}"/>
    <cellStyle name="Comma 2 5 4 3" xfId="524" xr:uid="{569A9D21-82C5-488A-9C3D-D5A3B7BE7FE2}"/>
    <cellStyle name="Comma 2 5 4 3 2" xfId="818" xr:uid="{7463DE87-B8B7-43C6-89F6-C2E1E8026838}"/>
    <cellStyle name="Comma 2 5 4 3 3" xfId="1079" xr:uid="{257CB5E4-FB14-4748-A61A-4D272D00E39D}"/>
    <cellStyle name="Comma 2 5 4 3 4" xfId="1345" xr:uid="{FC1DC4C8-0881-4C39-956F-C434A635D566}"/>
    <cellStyle name="Comma 2 5 4 3 5" xfId="1607" xr:uid="{8B6FD04B-DD52-4A07-B4C9-528C9C36BEAB}"/>
    <cellStyle name="Comma 2 5 4 3 6" xfId="1873" xr:uid="{BAC8F0D5-8BFA-4FA4-AC8F-AED4C17CF94F}"/>
    <cellStyle name="Comma 2 5 4 4" xfId="689" xr:uid="{0EF443C3-270C-482C-AC14-5A23972359CC}"/>
    <cellStyle name="Comma 2 5 4 5" xfId="950" xr:uid="{F6ACD6BF-337B-46ED-AD1D-363AE2214BF3}"/>
    <cellStyle name="Comma 2 5 4 6" xfId="1216" xr:uid="{E62B94BF-B193-4F31-8784-26D842498ECD}"/>
    <cellStyle name="Comma 2 5 4 7" xfId="1478" xr:uid="{DC067A11-2C4B-456E-BC2C-885AA2C43ECA}"/>
    <cellStyle name="Comma 2 5 4 8" xfId="1744" xr:uid="{79B2F4CE-1DF2-4C58-AA75-FA7BEEC4C0CE}"/>
    <cellStyle name="Comma 2 5 5" xfId="365" xr:uid="{CC29658E-BB38-45E1-B3FF-89C433785264}"/>
    <cellStyle name="Comma 2 5 5 2" xfId="594" xr:uid="{DC42255F-58CF-482C-84E0-1609F9C36132}"/>
    <cellStyle name="Comma 2 5 5 2 2" xfId="858" xr:uid="{A41991D4-AB36-42F5-B475-363B53741327}"/>
    <cellStyle name="Comma 2 5 5 2 3" xfId="1119" xr:uid="{95780054-5185-4F45-B8CD-FFC07A5D7BDD}"/>
    <cellStyle name="Comma 2 5 5 2 4" xfId="1385" xr:uid="{DFF1EB0F-35D4-48AE-9FC4-49B6B0FD821D}"/>
    <cellStyle name="Comma 2 5 5 2 5" xfId="1647" xr:uid="{CC68ACB2-9B0A-443D-A00F-119320ADC324}"/>
    <cellStyle name="Comma 2 5 5 2 6" xfId="1913" xr:uid="{785F47AC-C574-4379-B826-C55E14FAF975}"/>
    <cellStyle name="Comma 2 5 5 3" xfId="729" xr:uid="{2138C1C7-2A03-4888-A5A0-5F27F2A2DFF6}"/>
    <cellStyle name="Comma 2 5 5 4" xfId="990" xr:uid="{480E429D-1098-4B55-968F-EE754BC729F4}"/>
    <cellStyle name="Comma 2 5 5 5" xfId="1256" xr:uid="{AE8D5BB4-695B-4CF1-92DE-36F8007D531C}"/>
    <cellStyle name="Comma 2 5 5 6" xfId="1518" xr:uid="{C061D585-92D3-4F12-866E-23F3B9FEB4F4}"/>
    <cellStyle name="Comma 2 5 5 7" xfId="1784" xr:uid="{D46DA9E4-E9AB-4798-8DBD-31505EFF0A3F}"/>
    <cellStyle name="Comma 2 5 6" xfId="263" xr:uid="{11F00084-DA96-4BC2-B798-DB4557D9FBB5}"/>
    <cellStyle name="Comma 2 5 6 2" xfId="509" xr:uid="{DB91A8F6-AC26-4336-9842-57796A4D112D}"/>
    <cellStyle name="Comma 2 5 6 2 2" xfId="807" xr:uid="{EDE32003-BDA6-4E9C-9535-021B2F0E556F}"/>
    <cellStyle name="Comma 2 5 6 2 3" xfId="1068" xr:uid="{7807D6A4-CC6A-4C12-94C4-FF98455860F3}"/>
    <cellStyle name="Comma 2 5 6 2 4" xfId="1334" xr:uid="{B236B631-08E2-4481-AFB2-CFB3FE35B1F9}"/>
    <cellStyle name="Comma 2 5 6 2 5" xfId="1596" xr:uid="{4D9D748B-ED94-403F-99C7-5CBF76255D92}"/>
    <cellStyle name="Comma 2 5 6 2 6" xfId="1862" xr:uid="{A903E42B-2660-4632-AA5E-2A327C7CEAA2}"/>
    <cellStyle name="Comma 2 5 6 3" xfId="678" xr:uid="{7146AAD8-DB87-4307-B7C7-C3E7CF5BFD40}"/>
    <cellStyle name="Comma 2 5 6 4" xfId="939" xr:uid="{5229600B-DB8E-4037-848F-86351827BF80}"/>
    <cellStyle name="Comma 2 5 6 5" xfId="1205" xr:uid="{531796DD-FABF-40E0-9045-1EFD0A0C5CAE}"/>
    <cellStyle name="Comma 2 5 6 6" xfId="1467" xr:uid="{FF0C3C41-696F-449C-94EC-A0DB5AA34DDA}"/>
    <cellStyle name="Comma 2 5 6 7" xfId="1733" xr:uid="{E59F2E41-A064-4BC2-9C49-BB720CDC5F53}"/>
    <cellStyle name="Comma 2 5 7" xfId="473" xr:uid="{FDEC44C4-F762-49E4-8429-49C4C1D6E34A}"/>
    <cellStyle name="Comma 2 5 7 2" xfId="783" xr:uid="{8BA397FB-720C-40FB-B574-8BBDBA91D0E5}"/>
    <cellStyle name="Comma 2 5 7 3" xfId="1044" xr:uid="{BE52437B-B8B2-4E5B-8ECB-C38EA0CF7511}"/>
    <cellStyle name="Comma 2 5 7 4" xfId="1310" xr:uid="{BC41D141-37F3-4653-A59A-5942CB2EB2C7}"/>
    <cellStyle name="Comma 2 5 7 5" xfId="1572" xr:uid="{30F437E6-EAD9-4302-99FA-803BE88BD007}"/>
    <cellStyle name="Comma 2 5 7 6" xfId="1838" xr:uid="{36751464-9769-49E9-B48C-DC86F96A6CBB}"/>
    <cellStyle name="Comma 2 5 8" xfId="654" xr:uid="{FEEB4819-27F1-42B2-BE7B-F9D14CF81D1C}"/>
    <cellStyle name="Comma 2 5 9" xfId="915" xr:uid="{DCA4029A-7539-4782-A988-1C58C95A63BE}"/>
    <cellStyle name="Comma 2 6" xfId="212" xr:uid="{A379DB72-50AB-4B99-94DB-3AE4E86E3B11}"/>
    <cellStyle name="Comma 2 6 10" xfId="1182" xr:uid="{C5049ADA-3695-4919-99BC-39DBEA62D880}"/>
    <cellStyle name="Comma 2 6 11" xfId="1444" xr:uid="{3607C037-14AE-4C58-849B-9FB5A6AEB240}"/>
    <cellStyle name="Comma 2 6 12" xfId="1710" xr:uid="{283F197B-B754-49D6-94BE-DDEECCAA39C5}"/>
    <cellStyle name="Comma 2 6 2" xfId="354" xr:uid="{E3541CBD-2234-4DEB-B45F-007D6B19007E}"/>
    <cellStyle name="Comma 2 6 2 2" xfId="394" xr:uid="{42A97C4A-DC9C-4A7D-AEC2-74E66C2F094E}"/>
    <cellStyle name="Comma 2 6 2 2 2" xfId="620" xr:uid="{D9BD01D8-1C45-48C5-952A-88761E56B116}"/>
    <cellStyle name="Comma 2 6 2 2 2 2" xfId="884" xr:uid="{A774BA07-20DB-48A3-872F-FFACE4820431}"/>
    <cellStyle name="Comma 2 6 2 2 2 3" xfId="1145" xr:uid="{DFDE2803-8E48-4908-B74C-4C86C3674E13}"/>
    <cellStyle name="Comma 2 6 2 2 2 4" xfId="1411" xr:uid="{77FBAFB2-D254-41A6-8A41-504D0B33D81C}"/>
    <cellStyle name="Comma 2 6 2 2 2 5" xfId="1673" xr:uid="{5A1E6EA9-6B16-41BD-B795-AC2CAA60B0E8}"/>
    <cellStyle name="Comma 2 6 2 2 2 6" xfId="1939" xr:uid="{623411F4-E492-49AA-89DE-B32BE765A416}"/>
    <cellStyle name="Comma 2 6 2 2 3" xfId="755" xr:uid="{E2F8604C-DE9B-4396-8ABE-AB4A4AC97F7F}"/>
    <cellStyle name="Comma 2 6 2 2 4" xfId="1016" xr:uid="{840CB5E0-10B1-458A-A70C-F48E6EAD223B}"/>
    <cellStyle name="Comma 2 6 2 2 5" xfId="1282" xr:uid="{55038625-C8DB-4796-8916-0C7CE1C7ED38}"/>
    <cellStyle name="Comma 2 6 2 2 6" xfId="1544" xr:uid="{E4732026-B54C-43C9-AE6B-CF18BBE5864A}"/>
    <cellStyle name="Comma 2 6 2 2 7" xfId="1810" xr:uid="{CC1D3B63-D425-44A9-B107-74874700350A}"/>
    <cellStyle name="Comma 2 6 2 3" xfId="585" xr:uid="{D0C2FBED-8E37-4A1C-A31D-AFE592D6B2B8}"/>
    <cellStyle name="Comma 2 6 2 3 2" xfId="849" xr:uid="{ED1CC9F9-24B9-41AF-A20A-D0379D0E690C}"/>
    <cellStyle name="Comma 2 6 2 3 3" xfId="1110" xr:uid="{9582F9BD-C70D-49FC-B254-23A9BB0E872D}"/>
    <cellStyle name="Comma 2 6 2 3 4" xfId="1376" xr:uid="{23D8FDF7-935B-4D74-8F8D-628FEEF7242F}"/>
    <cellStyle name="Comma 2 6 2 3 5" xfId="1638" xr:uid="{68E5230C-6A2E-42E8-A1B8-1EEF9514EB75}"/>
    <cellStyle name="Comma 2 6 2 3 6" xfId="1904" xr:uid="{C48A7C30-4F32-4FE6-96E4-DD55B233B9C5}"/>
    <cellStyle name="Comma 2 6 2 4" xfId="720" xr:uid="{E793B4BD-08B5-4893-96EA-44122E2CDA09}"/>
    <cellStyle name="Comma 2 6 2 5" xfId="981" xr:uid="{075A3D10-4794-4B7C-9ACE-5CD667A9266B}"/>
    <cellStyle name="Comma 2 6 2 6" xfId="1247" xr:uid="{DA0CFFCD-2FB8-4E76-92ED-46E483AD607E}"/>
    <cellStyle name="Comma 2 6 2 7" xfId="1509" xr:uid="{FE9412E9-27DA-4630-A8D9-E9C7500F83CF}"/>
    <cellStyle name="Comma 2 6 2 8" xfId="1775" xr:uid="{E0EFF009-F6FF-428A-8A0B-789D104185C9}"/>
    <cellStyle name="Comma 2 6 3" xfId="337" xr:uid="{193C4F14-DBD4-44ED-A2FD-08CC751A57A0}"/>
    <cellStyle name="Comma 2 6 3 2" xfId="387" xr:uid="{1787722E-BF07-44D6-9D42-198FB37D0ADD}"/>
    <cellStyle name="Comma 2 6 3 2 2" xfId="613" xr:uid="{DD8550B4-B43F-4369-9246-477250BEA2C3}"/>
    <cellStyle name="Comma 2 6 3 2 2 2" xfId="877" xr:uid="{CC43F0D0-EBA5-47BB-92C1-6BB5946C3782}"/>
    <cellStyle name="Comma 2 6 3 2 2 3" xfId="1138" xr:uid="{C0B6BA93-5E75-4D13-849D-5A9177F8A7A9}"/>
    <cellStyle name="Comma 2 6 3 2 2 4" xfId="1404" xr:uid="{1BD6ABE2-1BB6-4B79-949E-F6C127515BC7}"/>
    <cellStyle name="Comma 2 6 3 2 2 5" xfId="1666" xr:uid="{99F6E6EB-71D1-4B7E-946C-5E2149E82C74}"/>
    <cellStyle name="Comma 2 6 3 2 2 6" xfId="1932" xr:uid="{38F7C0B4-76C5-4AD3-831F-52993F3B8A78}"/>
    <cellStyle name="Comma 2 6 3 2 3" xfId="748" xr:uid="{2424BA27-6FDA-4BF9-814A-79AA1D69F033}"/>
    <cellStyle name="Comma 2 6 3 2 4" xfId="1009" xr:uid="{D5BFD249-E976-4B11-BB65-FEA517F36BCA}"/>
    <cellStyle name="Comma 2 6 3 2 5" xfId="1275" xr:uid="{012A7DD6-21FB-4D18-81E7-195AFFFB228F}"/>
    <cellStyle name="Comma 2 6 3 2 6" xfId="1537" xr:uid="{F6B96383-B5F2-4592-BE0F-B625A7833A95}"/>
    <cellStyle name="Comma 2 6 3 2 7" xfId="1803" xr:uid="{AF64F183-EC33-4363-A10E-55ECA74BE1D2}"/>
    <cellStyle name="Comma 2 6 3 3" xfId="568" xr:uid="{8F87BAE8-D175-4820-896C-8FFD7D756C70}"/>
    <cellStyle name="Comma 2 6 3 3 2" xfId="834" xr:uid="{1AE54E33-1067-47A9-82FA-7FDC0FA8404F}"/>
    <cellStyle name="Comma 2 6 3 3 3" xfId="1095" xr:uid="{88D300AE-5367-414A-8167-1D41080C9F4C}"/>
    <cellStyle name="Comma 2 6 3 3 4" xfId="1361" xr:uid="{40E2E0C7-03C3-4A7A-9DF9-AD93602A07ED}"/>
    <cellStyle name="Comma 2 6 3 3 5" xfId="1623" xr:uid="{DCB0AD3F-313C-4808-8AD1-B1B459B8ACAC}"/>
    <cellStyle name="Comma 2 6 3 3 6" xfId="1889" xr:uid="{24F44FA5-A6F8-47B6-9BA9-B660A6AEAC7F}"/>
    <cellStyle name="Comma 2 6 3 4" xfId="705" xr:uid="{B35A6CBF-69E4-4D04-A1A7-5D9D69F8073C}"/>
    <cellStyle name="Comma 2 6 3 5" xfId="966" xr:uid="{0165C3EC-6C32-4BCB-A466-6054B0089775}"/>
    <cellStyle name="Comma 2 6 3 6" xfId="1232" xr:uid="{79510909-66C8-4BDC-9D2C-2F8DD539F7F1}"/>
    <cellStyle name="Comma 2 6 3 7" xfId="1494" xr:uid="{60FE12CF-DF4E-41F0-83E9-6F0ACF941E52}"/>
    <cellStyle name="Comma 2 6 3 8" xfId="1760" xr:uid="{1B3C078E-2A57-4FF4-9277-074D867BDBD2}"/>
    <cellStyle name="Comma 2 6 4" xfId="287" xr:uid="{ABFD46E6-F24F-4780-AA2F-6F083DEB01F8}"/>
    <cellStyle name="Comma 2 6 4 2" xfId="375" xr:uid="{250BB832-7FD7-4168-BEC2-10BAEC7FDED0}"/>
    <cellStyle name="Comma 2 6 4 2 2" xfId="602" xr:uid="{7D2771CE-660B-467C-A2A1-A6DB94277631}"/>
    <cellStyle name="Comma 2 6 4 2 2 2" xfId="866" xr:uid="{BD22C636-A966-4FDE-A626-6B70165D77A8}"/>
    <cellStyle name="Comma 2 6 4 2 2 3" xfId="1127" xr:uid="{E39E332A-3CDA-46EB-AD07-187F635AD60D}"/>
    <cellStyle name="Comma 2 6 4 2 2 4" xfId="1393" xr:uid="{78B0447C-AF86-4096-BD8F-512F6CF63FCB}"/>
    <cellStyle name="Comma 2 6 4 2 2 5" xfId="1655" xr:uid="{87EC3FBD-B997-4D18-86E2-242E27091ACF}"/>
    <cellStyle name="Comma 2 6 4 2 2 6" xfId="1921" xr:uid="{C9CDE0F6-F304-40DC-9BB2-84C49643CDEC}"/>
    <cellStyle name="Comma 2 6 4 2 3" xfId="737" xr:uid="{2838DDB3-D30E-4B18-9BB3-7B26A9CF6786}"/>
    <cellStyle name="Comma 2 6 4 2 4" xfId="998" xr:uid="{91F57770-9B7B-4744-8642-4B9CD933F98E}"/>
    <cellStyle name="Comma 2 6 4 2 5" xfId="1264" xr:uid="{F27F8DED-9CE0-4322-A32E-CEDB81326173}"/>
    <cellStyle name="Comma 2 6 4 2 6" xfId="1526" xr:uid="{F7A223F2-3A13-4E97-884C-7E56EF2782C6}"/>
    <cellStyle name="Comma 2 6 4 2 7" xfId="1792" xr:uid="{80B5F991-7371-4802-B7A8-DF8B29B1DF47}"/>
    <cellStyle name="Comma 2 6 4 3" xfId="525" xr:uid="{ED190A79-9C8F-45B8-9EF3-C81AF006E62D}"/>
    <cellStyle name="Comma 2 6 4 3 2" xfId="819" xr:uid="{8FDDDFB6-DEA1-433F-AA96-A64383BDC3A5}"/>
    <cellStyle name="Comma 2 6 4 3 3" xfId="1080" xr:uid="{12F5A766-4AA7-48D4-863D-ED8A649554FD}"/>
    <cellStyle name="Comma 2 6 4 3 4" xfId="1346" xr:uid="{3705D985-C103-4D66-A2EE-C9DEA00A478F}"/>
    <cellStyle name="Comma 2 6 4 3 5" xfId="1608" xr:uid="{F1E4E461-B77E-436C-8FFB-ACEC5AB47920}"/>
    <cellStyle name="Comma 2 6 4 3 6" xfId="1874" xr:uid="{67CF1F63-680C-40BF-89F2-E6DF2F87B099}"/>
    <cellStyle name="Comma 2 6 4 4" xfId="690" xr:uid="{4EA19C08-6A35-4887-9428-93C6F2040264}"/>
    <cellStyle name="Comma 2 6 4 5" xfId="951" xr:uid="{D37C95EB-3629-492D-9EFC-AD1B9EF5C08A}"/>
    <cellStyle name="Comma 2 6 4 6" xfId="1217" xr:uid="{F9AA2F9B-718A-4357-9AF1-8F260B8F7127}"/>
    <cellStyle name="Comma 2 6 4 7" xfId="1479" xr:uid="{119DD5FF-773A-4034-BE18-B048604171DB}"/>
    <cellStyle name="Comma 2 6 4 8" xfId="1745" xr:uid="{0C2E2056-A506-4710-8C93-9115CA66CE4E}"/>
    <cellStyle name="Comma 2 6 5" xfId="366" xr:uid="{7C4C2701-47FC-4574-B2A9-69A8A27A4828}"/>
    <cellStyle name="Comma 2 6 5 2" xfId="595" xr:uid="{870B65BD-DB08-4ACC-85EC-104615165DE2}"/>
    <cellStyle name="Comma 2 6 5 2 2" xfId="859" xr:uid="{6E8F6F8A-A95A-4287-ABB0-BA1880C2CBF2}"/>
    <cellStyle name="Comma 2 6 5 2 3" xfId="1120" xr:uid="{B0AD0D41-A9BD-449A-8A37-337AE4A89C2C}"/>
    <cellStyle name="Comma 2 6 5 2 4" xfId="1386" xr:uid="{8F2F1C31-B927-44E5-A6EE-3C796B2EFFB3}"/>
    <cellStyle name="Comma 2 6 5 2 5" xfId="1648" xr:uid="{A94A848C-1432-4C27-8A3D-211463FCCFB0}"/>
    <cellStyle name="Comma 2 6 5 2 6" xfId="1914" xr:uid="{F26F0A7C-9E23-45E0-A2C7-8F33ED5AF43F}"/>
    <cellStyle name="Comma 2 6 5 3" xfId="730" xr:uid="{19331C46-7344-4905-A51B-4E81F6FBCDC6}"/>
    <cellStyle name="Comma 2 6 5 4" xfId="991" xr:uid="{D0D955E4-0252-4360-8FB6-B181D4CA7424}"/>
    <cellStyle name="Comma 2 6 5 5" xfId="1257" xr:uid="{BAC604FF-B4E1-4439-BABC-6DE2C3F5C58F}"/>
    <cellStyle name="Comma 2 6 5 6" xfId="1519" xr:uid="{B3286095-2DFA-4E41-AF30-A049D1DDE8F5}"/>
    <cellStyle name="Comma 2 6 5 7" xfId="1785" xr:uid="{37C9C8ED-D091-4CDC-9E0D-4C983AEDCD0F}"/>
    <cellStyle name="Comma 2 6 6" xfId="264" xr:uid="{EFB4A94B-CD24-4E86-A5CE-9E720B768A89}"/>
    <cellStyle name="Comma 2 6 6 2" xfId="510" xr:uid="{62F37C65-A37F-4DD5-B8DF-16261A290575}"/>
    <cellStyle name="Comma 2 6 6 2 2" xfId="808" xr:uid="{296CD7F4-D59E-42B5-937E-C1164E92F98C}"/>
    <cellStyle name="Comma 2 6 6 2 3" xfId="1069" xr:uid="{50DB1C2B-7D7B-4FCD-A6A8-53E770B391F0}"/>
    <cellStyle name="Comma 2 6 6 2 4" xfId="1335" xr:uid="{993505A8-600D-43EC-8093-65E52CBDBFEF}"/>
    <cellStyle name="Comma 2 6 6 2 5" xfId="1597" xr:uid="{51F735A8-BE44-4FE8-91CE-A1FF75E3576A}"/>
    <cellStyle name="Comma 2 6 6 2 6" xfId="1863" xr:uid="{D572E3B8-718A-416D-8E47-F2A17545FC14}"/>
    <cellStyle name="Comma 2 6 6 3" xfId="679" xr:uid="{0EFF92DC-5ABB-452B-8D34-DF6B146DF0F1}"/>
    <cellStyle name="Comma 2 6 6 4" xfId="940" xr:uid="{6E8D971A-193A-4185-B455-11F8FA69068E}"/>
    <cellStyle name="Comma 2 6 6 5" xfId="1206" xr:uid="{15AF3A92-231F-4C75-B8A7-F9821E8A7571}"/>
    <cellStyle name="Comma 2 6 6 6" xfId="1468" xr:uid="{3A1C1112-684A-47F4-A874-A30CAB28661C}"/>
    <cellStyle name="Comma 2 6 6 7" xfId="1734" xr:uid="{F10B5AEA-F8FC-437D-8865-8A619269E25C}"/>
    <cellStyle name="Comma 2 6 7" xfId="474" xr:uid="{66F7A126-4FF6-450D-8BFC-F7B0B597AEC8}"/>
    <cellStyle name="Comma 2 6 7 2" xfId="784" xr:uid="{9A43B851-13EC-41AA-92EB-0B6890C939F6}"/>
    <cellStyle name="Comma 2 6 7 3" xfId="1045" xr:uid="{A7B17F68-E30E-4C1E-BF65-0045AE91539C}"/>
    <cellStyle name="Comma 2 6 7 4" xfId="1311" xr:uid="{68F00664-295E-4DA2-A21F-019FA1CCC5AB}"/>
    <cellStyle name="Comma 2 6 7 5" xfId="1573" xr:uid="{66EAB4BF-3F83-4C1D-A0EE-5AEC039E8CFC}"/>
    <cellStyle name="Comma 2 6 7 6" xfId="1839" xr:uid="{54406C8E-B450-4FC0-8D8E-680CBE033153}"/>
    <cellStyle name="Comma 2 6 8" xfId="655" xr:uid="{9D57135F-18EB-4F48-B590-838DE12DF5EC}"/>
    <cellStyle name="Comma 2 6 9" xfId="916" xr:uid="{4ADCEC7C-CED7-421F-BC7A-D274D080187C}"/>
    <cellStyle name="Comma 2 7" xfId="218" xr:uid="{66CB5D66-3AC0-4B22-A1DF-98F21989D9AC}"/>
    <cellStyle name="Comma 2 7 10" xfId="1712" xr:uid="{1736064C-1D45-401A-9CE8-E380B452B25C}"/>
    <cellStyle name="Comma 2 7 2" xfId="340" xr:uid="{6B7BD6A4-82BF-42E8-BD6B-29CC3374E23D}"/>
    <cellStyle name="Comma 2 7 2 2" xfId="388" xr:uid="{CCFB4FEA-9652-4FB5-9825-B096B90C44CE}"/>
    <cellStyle name="Comma 2 7 2 2 2" xfId="614" xr:uid="{7ED4D678-7D8E-4506-8A97-75878ED697DA}"/>
    <cellStyle name="Comma 2 7 2 2 2 2" xfId="878" xr:uid="{8F844FFB-C5C4-42FF-B6F3-06364B46A1B3}"/>
    <cellStyle name="Comma 2 7 2 2 2 3" xfId="1139" xr:uid="{2525A12E-876A-4CB1-9712-9B9716FEE0CC}"/>
    <cellStyle name="Comma 2 7 2 2 2 4" xfId="1405" xr:uid="{8717810A-84B4-4BC1-9341-D03D8F85D007}"/>
    <cellStyle name="Comma 2 7 2 2 2 5" xfId="1667" xr:uid="{EB3CE5B9-9154-4F54-B3CA-B61829B6EE7E}"/>
    <cellStyle name="Comma 2 7 2 2 2 6" xfId="1933" xr:uid="{B07AF745-63E1-4873-8360-54E490F01C40}"/>
    <cellStyle name="Comma 2 7 2 2 3" xfId="749" xr:uid="{9949A778-D97D-423D-90B1-9553C85B3A17}"/>
    <cellStyle name="Comma 2 7 2 2 4" xfId="1010" xr:uid="{8EB1955B-BF1E-440A-B29E-2F2505F3E956}"/>
    <cellStyle name="Comma 2 7 2 2 5" xfId="1276" xr:uid="{FE6B5003-2A07-4EF7-8E84-E4E32B20B058}"/>
    <cellStyle name="Comma 2 7 2 2 6" xfId="1538" xr:uid="{DF6AB41A-01F5-4645-96C4-518A8D408EA0}"/>
    <cellStyle name="Comma 2 7 2 2 7" xfId="1804" xr:uid="{9B96BC70-9484-49F3-A49E-228835F66633}"/>
    <cellStyle name="Comma 2 7 2 3" xfId="571" xr:uid="{0389B64B-8328-40FE-9A08-A47545A45A40}"/>
    <cellStyle name="Comma 2 7 2 3 2" xfId="836" xr:uid="{A2AC4678-1B2C-4BF5-A6DC-042FA4029F1A}"/>
    <cellStyle name="Comma 2 7 2 3 3" xfId="1097" xr:uid="{1B2D4892-1E5C-4C0C-BF84-9B62097CDDA9}"/>
    <cellStyle name="Comma 2 7 2 3 4" xfId="1363" xr:uid="{011F45FA-F203-4451-82FA-AC0EA059F3BF}"/>
    <cellStyle name="Comma 2 7 2 3 5" xfId="1625" xr:uid="{105226D5-FA5E-4A5C-96FD-B126E14AC8BC}"/>
    <cellStyle name="Comma 2 7 2 3 6" xfId="1891" xr:uid="{70E8B0D7-9345-4168-8795-D83448D68337}"/>
    <cellStyle name="Comma 2 7 2 4" xfId="707" xr:uid="{C2C3D8A0-FED2-4131-B532-9FCC2F3C62A6}"/>
    <cellStyle name="Comma 2 7 2 5" xfId="968" xr:uid="{D5C59F20-8A5F-44A1-A0B5-C12733A93C9E}"/>
    <cellStyle name="Comma 2 7 2 6" xfId="1234" xr:uid="{66CD6097-8FFA-4D54-B3B8-9A3141A2B6EC}"/>
    <cellStyle name="Comma 2 7 2 7" xfId="1496" xr:uid="{6520D02E-2B34-4F63-8D36-6569CC626618}"/>
    <cellStyle name="Comma 2 7 2 8" xfId="1762" xr:uid="{0DEF164D-FC62-4AE8-A06C-A787824A5ADB}"/>
    <cellStyle name="Comma 2 7 3" xfId="377" xr:uid="{BD50EC97-B7FE-4ECB-8C59-E6E4A81740DA}"/>
    <cellStyle name="Comma 2 7 3 2" xfId="603" xr:uid="{189E61AE-E5F4-4B24-8DC7-0AFF4DFF13A0}"/>
    <cellStyle name="Comma 2 7 3 2 2" xfId="867" xr:uid="{0DB48BF3-02E8-4F25-A88B-FC6F9C50B152}"/>
    <cellStyle name="Comma 2 7 3 2 3" xfId="1128" xr:uid="{19383591-DFFF-4D3A-8464-DE6F27F7F604}"/>
    <cellStyle name="Comma 2 7 3 2 4" xfId="1394" xr:uid="{BF90EFF2-4E8B-4AD1-BACE-7EB2AA1F893C}"/>
    <cellStyle name="Comma 2 7 3 2 5" xfId="1656" xr:uid="{A0DA100F-8CFF-41CD-9274-AF4ED7D46A7B}"/>
    <cellStyle name="Comma 2 7 3 2 6" xfId="1922" xr:uid="{3C72A959-4E90-41E2-B5D4-46A87FFFC9F9}"/>
    <cellStyle name="Comma 2 7 3 3" xfId="738" xr:uid="{DA3FCEE1-F4EC-48AD-B76D-5377B22C9BD1}"/>
    <cellStyle name="Comma 2 7 3 4" xfId="999" xr:uid="{3ED25E75-4C2B-4743-842E-D507A355D545}"/>
    <cellStyle name="Comma 2 7 3 5" xfId="1265" xr:uid="{8D28CBE4-E58F-4E45-9F5B-38B3282C5317}"/>
    <cellStyle name="Comma 2 7 3 6" xfId="1527" xr:uid="{72AA3C83-B679-4263-B1BC-A459ADB75EB4}"/>
    <cellStyle name="Comma 2 7 3 7" xfId="1793" xr:uid="{F24A857A-517E-43BC-921A-0BF5162E7D29}"/>
    <cellStyle name="Comma 2 7 4" xfId="319" xr:uid="{FB333402-B109-4A2F-BC9D-5D9BDE3C3D88}"/>
    <cellStyle name="Comma 2 7 4 2" xfId="555" xr:uid="{179A68CE-908E-4635-91EF-2AAE37C86B9A}"/>
    <cellStyle name="Comma 2 7 4 2 2" xfId="822" xr:uid="{05A1772D-D776-4D35-85C7-5E1B8050E96B}"/>
    <cellStyle name="Comma 2 7 4 2 3" xfId="1083" xr:uid="{0725E8D2-EFB8-4680-BC84-68D068FB0E87}"/>
    <cellStyle name="Comma 2 7 4 2 4" xfId="1349" xr:uid="{030C08E7-EF39-4B17-B990-7D5F3F2A5C07}"/>
    <cellStyle name="Comma 2 7 4 2 5" xfId="1611" xr:uid="{5D343DCE-844F-4EE4-B086-A50CFE1FBF1E}"/>
    <cellStyle name="Comma 2 7 4 2 6" xfId="1877" xr:uid="{713D51DB-757F-4E54-AEAB-616B3074D643}"/>
    <cellStyle name="Comma 2 7 4 3" xfId="693" xr:uid="{E30D0E3D-8E29-47AC-982A-427F026531B7}"/>
    <cellStyle name="Comma 2 7 4 4" xfId="954" xr:uid="{9BCA2E7D-9B84-4AE6-B39F-972DE0768450}"/>
    <cellStyle name="Comma 2 7 4 5" xfId="1220" xr:uid="{BE4F1BD9-85B8-4290-9A2D-B4ECD9ACAD46}"/>
    <cellStyle name="Comma 2 7 4 6" xfId="1482" xr:uid="{659DC8B3-0372-45AC-B830-F74B1F656752}"/>
    <cellStyle name="Comma 2 7 4 7" xfId="1748" xr:uid="{4972E5FA-6123-4A31-9122-5B706EAA0F3F}"/>
    <cellStyle name="Comma 2 7 5" xfId="477" xr:uid="{4F948FE1-14E2-4F08-9F5F-A0E33334735E}"/>
    <cellStyle name="Comma 2 7 5 2" xfId="786" xr:uid="{B24D5990-9E72-4A16-BD7A-F404092D0A4A}"/>
    <cellStyle name="Comma 2 7 5 3" xfId="1047" xr:uid="{0E8D01BF-CE2D-47FE-80B0-F374152BBE81}"/>
    <cellStyle name="Comma 2 7 5 4" xfId="1313" xr:uid="{DF7068AF-A45B-4B46-BE18-773415FE8C3E}"/>
    <cellStyle name="Comma 2 7 5 5" xfId="1575" xr:uid="{0EECF0F4-5AFA-499D-B60B-6CA8A3404824}"/>
    <cellStyle name="Comma 2 7 5 6" xfId="1841" xr:uid="{F57DA37F-CA8C-415B-BEB8-FF933D5805B2}"/>
    <cellStyle name="Comma 2 7 6" xfId="657" xr:uid="{350A04F9-1E9C-47FC-9669-F64BB038DF9D}"/>
    <cellStyle name="Comma 2 7 7" xfId="918" xr:uid="{4FAA5977-68FF-4FE3-AD50-47C57907A1E9}"/>
    <cellStyle name="Comma 2 7 8" xfId="1184" xr:uid="{F5B4EA35-9353-4848-ABCC-4B8E2C68EF67}"/>
    <cellStyle name="Comma 2 7 9" xfId="1446" xr:uid="{617EC8A7-DCAE-4554-BD59-6EB6E62CA4F4}"/>
    <cellStyle name="Comma 2 8" xfId="232" xr:uid="{5CA39A82-6A71-484A-9EEE-9999B7BB9B99}"/>
    <cellStyle name="Comma 2 8 2" xfId="381" xr:uid="{0BF6CF9A-D89B-4096-8BD7-01E5CC3FB694}"/>
    <cellStyle name="Comma 2 8 2 2" xfId="607" xr:uid="{B8BBC0E3-066E-42AC-AAE0-DE03AF4CF494}"/>
    <cellStyle name="Comma 2 8 2 2 2" xfId="871" xr:uid="{80E96042-6C0C-4E62-AA94-00146D727997}"/>
    <cellStyle name="Comma 2 8 2 2 3" xfId="1132" xr:uid="{8BB3032B-078E-46EE-8204-23BD2EF8D14F}"/>
    <cellStyle name="Comma 2 8 2 2 4" xfId="1398" xr:uid="{616A101F-9A5A-422A-8572-0A8F8BFD1CE2}"/>
    <cellStyle name="Comma 2 8 2 2 5" xfId="1660" xr:uid="{F8EDAE5C-7CE8-40E9-9208-3E3D5B45A205}"/>
    <cellStyle name="Comma 2 8 2 2 6" xfId="1926" xr:uid="{A21F06AE-9DCB-4C18-BEC6-A1D37C777835}"/>
    <cellStyle name="Comma 2 8 2 3" xfId="742" xr:uid="{917E3008-FF6C-42C1-A508-03AFF31712D8}"/>
    <cellStyle name="Comma 2 8 2 4" xfId="1003" xr:uid="{C0056E23-2514-439B-8331-DAA3AF343AEE}"/>
    <cellStyle name="Comma 2 8 2 5" xfId="1269" xr:uid="{8A8B9D72-939E-4C3D-A88F-6298F8DE6F8C}"/>
    <cellStyle name="Comma 2 8 2 6" xfId="1531" xr:uid="{281759EE-1CF9-4193-BA7B-0CC8F070FA55}"/>
    <cellStyle name="Comma 2 8 2 7" xfId="1797" xr:uid="{CA12B74A-E15A-49F7-BA41-04E457C82010}"/>
    <cellStyle name="Comma 2 8 3" xfId="331" xr:uid="{A912E8DB-3482-4026-87D2-126FB9E07CFB}"/>
    <cellStyle name="Comma 2 8 3 2" xfId="562" xr:uid="{30EAD176-6D7F-42B3-8459-2D1A88A13D96}"/>
    <cellStyle name="Comma 2 8 3 2 2" xfId="828" xr:uid="{DD08A12E-3E51-49E6-B3E6-6C64E264F051}"/>
    <cellStyle name="Comma 2 8 3 2 3" xfId="1089" xr:uid="{E61C2E41-9505-4933-81C9-500CCCFB9330}"/>
    <cellStyle name="Comma 2 8 3 2 4" xfId="1355" xr:uid="{F7691B16-8EA9-43AE-8702-1A6EED9A5D80}"/>
    <cellStyle name="Comma 2 8 3 2 5" xfId="1617" xr:uid="{944018A1-F74C-4F0B-9B77-A6BD7C9154F2}"/>
    <cellStyle name="Comma 2 8 3 2 6" xfId="1883" xr:uid="{17445EF6-7669-43B1-9BC3-4DB587A0BCBA}"/>
    <cellStyle name="Comma 2 8 3 3" xfId="699" xr:uid="{7C88DE89-5B7A-4B0B-A9E4-B6104AC50473}"/>
    <cellStyle name="Comma 2 8 3 4" xfId="960" xr:uid="{145669B5-DDD0-48E5-A40A-633531556446}"/>
    <cellStyle name="Comma 2 8 3 5" xfId="1226" xr:uid="{03FA02CC-A564-48DD-876D-DE9B0B9B6D1A}"/>
    <cellStyle name="Comma 2 8 3 6" xfId="1488" xr:uid="{47842AD6-6080-4AE2-8EBD-B0A9CE25BB6D}"/>
    <cellStyle name="Comma 2 8 3 7" xfId="1754" xr:uid="{CD884A9A-F0FF-4162-8A49-C6569E1596CF}"/>
    <cellStyle name="Comma 2 8 4" xfId="486" xr:uid="{2964DFE5-C5F7-4F35-BD9D-7D4B68DFBF75}"/>
    <cellStyle name="Comma 2 8 4 2" xfId="792" xr:uid="{FBB33CC6-AF4A-492F-9AD2-F2EB44D8A83B}"/>
    <cellStyle name="Comma 2 8 4 3" xfId="1053" xr:uid="{4645B19C-961A-46BF-B964-94FECDDC985F}"/>
    <cellStyle name="Comma 2 8 4 4" xfId="1319" xr:uid="{E1DDA433-2EE6-448F-8549-BD123CA5F14D}"/>
    <cellStyle name="Comma 2 8 4 5" xfId="1581" xr:uid="{029E993C-04D3-4F3A-A0C7-5971E6B29536}"/>
    <cellStyle name="Comma 2 8 4 6" xfId="1847" xr:uid="{5FD150DA-35B3-4514-A015-E6E09BDE61D4}"/>
    <cellStyle name="Comma 2 8 5" xfId="663" xr:uid="{80EFABBD-BB15-46E6-8DAA-4AA1C2DEAD94}"/>
    <cellStyle name="Comma 2 8 6" xfId="924" xr:uid="{C413C37E-53DC-447C-98DF-5EA065541C82}"/>
    <cellStyle name="Comma 2 8 7" xfId="1190" xr:uid="{75F90089-41E5-4A5E-8608-EE7768586F1F}"/>
    <cellStyle name="Comma 2 8 8" xfId="1452" xr:uid="{6DBEC0CD-F2DE-4307-880D-717B353F7ECD}"/>
    <cellStyle name="Comma 2 8 9" xfId="1718" xr:uid="{DB4583D0-757E-473E-B4C3-A4946D74DE63}"/>
    <cellStyle name="Comma 2 9" xfId="315" xr:uid="{BD8AEC1E-553F-458A-A287-DEE8C3A59FD0}"/>
    <cellStyle name="Comma 2 9 2" xfId="552" xr:uid="{A4E1B04F-A914-4764-9932-32518A7B4D31}"/>
    <cellStyle name="Comma 2 9 2 2" xfId="821" xr:uid="{6AB19CAB-E431-4B32-91B4-22FF837EBABF}"/>
    <cellStyle name="Comma 2 9 2 3" xfId="1082" xr:uid="{5C0975CC-8B4C-4482-BF0E-12777581B05B}"/>
    <cellStyle name="Comma 2 9 2 4" xfId="1348" xr:uid="{78894B8E-3F43-488A-9184-7A635098D810}"/>
    <cellStyle name="Comma 2 9 2 5" xfId="1610" xr:uid="{85C09C96-2657-4F2A-9181-18F2FA65324F}"/>
    <cellStyle name="Comma 2 9 2 6" xfId="1876" xr:uid="{9199E678-71DA-4278-98ED-C43D73F848D6}"/>
    <cellStyle name="Comma 2 9 3" xfId="692" xr:uid="{7EEA2FEA-D3E4-4A4F-8BFC-5AF17CF6BCDB}"/>
    <cellStyle name="Comma 2 9 4" xfId="953" xr:uid="{2E08F527-B42E-4A9C-BC37-579251222E34}"/>
    <cellStyle name="Comma 2 9 5" xfId="1219" xr:uid="{6EB074BB-9FC6-4D94-8E78-41176DD8E67F}"/>
    <cellStyle name="Comma 2 9 6" xfId="1481" xr:uid="{A69028D0-C99E-434F-975A-CC665C242B1F}"/>
    <cellStyle name="Comma 2 9 7" xfId="1747" xr:uid="{A9AC58E4-7A90-4E3C-9ABB-C7F133E1DCC1}"/>
    <cellStyle name="Comma 3" xfId="20" xr:uid="{249A3E72-32B7-4C84-A3A7-EC5661A6A49C}"/>
    <cellStyle name="Comma 3 2" xfId="143" xr:uid="{35E184FA-24A6-456C-8F23-6E01B97404BA}"/>
    <cellStyle name="Comma 3 2 2" xfId="344" xr:uid="{B61354F7-B938-49B9-AB3B-53A7BE2280B5}"/>
    <cellStyle name="Comma 3 2 2 2" xfId="575" xr:uid="{871B9110-AA72-4205-B477-74915DE88A7D}"/>
    <cellStyle name="Comma 3 2 2 2 2" xfId="840" xr:uid="{04BAE72A-66B0-4E6F-A44F-7DFE7FDB4159}"/>
    <cellStyle name="Comma 3 2 2 2 3" xfId="1101" xr:uid="{AE19682B-63FB-43AA-9F81-5F74F4FCB3C7}"/>
    <cellStyle name="Comma 3 2 2 2 4" xfId="1367" xr:uid="{20B3C640-0B51-4B00-B66B-380D234CE4B7}"/>
    <cellStyle name="Comma 3 2 2 2 5" xfId="1629" xr:uid="{BF4CFA19-28F4-4F57-9158-2987484E7C8C}"/>
    <cellStyle name="Comma 3 2 2 2 6" xfId="1895" xr:uid="{CC77E162-E4EF-488E-B022-4DC42B68F507}"/>
    <cellStyle name="Comma 3 2 2 3" xfId="711" xr:uid="{0356F70E-7C90-452D-8914-3A16AC3F3C04}"/>
    <cellStyle name="Comma 3 2 2 4" xfId="972" xr:uid="{5ECFEF22-F7C0-4291-AD31-143CB3BDAD41}"/>
    <cellStyle name="Comma 3 2 2 5" xfId="1238" xr:uid="{8D7F56AE-C12A-4624-948C-7CFB95591A84}"/>
    <cellStyle name="Comma 3 2 2 6" xfId="1500" xr:uid="{4A510013-CA8F-4185-9D4C-C1A62331FFCA}"/>
    <cellStyle name="Comma 3 2 2 7" xfId="1766" xr:uid="{E7E38741-D7C0-403D-A6D5-2F3A8907EC4A}"/>
    <cellStyle name="Comma 3 2 3" xfId="447" xr:uid="{28EA870D-0168-49EF-9245-00F073A57BCD}"/>
    <cellStyle name="Comma 3 2 3 2" xfId="767" xr:uid="{C43E8395-2E1A-4EBF-8851-BB8AEEAFC83C}"/>
    <cellStyle name="Comma 3 2 3 3" xfId="1028" xr:uid="{2801237E-FE99-4A75-AAE9-8E91C0A46133}"/>
    <cellStyle name="Comma 3 2 3 4" xfId="1294" xr:uid="{BB0B3B6C-A049-4491-9EC1-FD1274E2CE7F}"/>
    <cellStyle name="Comma 3 2 3 5" xfId="1556" xr:uid="{10002DEF-A6DF-46B3-85DB-73B0B76A48F2}"/>
    <cellStyle name="Comma 3 2 3 6" xfId="1822" xr:uid="{6B489653-F7BE-4FCA-BF3D-55ACD37C6D4E}"/>
    <cellStyle name="Comma 3 2 4" xfId="636" xr:uid="{85659787-B349-4AFB-8D61-E666F4158EA6}"/>
    <cellStyle name="Comma 3 2 5" xfId="897" xr:uid="{640A6FBC-6125-4F1B-AFC7-863B06381087}"/>
    <cellStyle name="Comma 3 2 6" xfId="1163" xr:uid="{D392AD52-E2CF-4989-BFEA-139CB80E622E}"/>
    <cellStyle name="Comma 3 2 7" xfId="1425" xr:uid="{055BE65F-0E86-4646-95BE-C36BC01CC1A5}"/>
    <cellStyle name="Comma 3 2 8" xfId="1691" xr:uid="{368F4986-064A-424B-96F7-9D336DCA0C47}"/>
    <cellStyle name="Comma 3 3" xfId="180" xr:uid="{27C940F5-D9EA-4287-8B84-342F50A4528F}"/>
    <cellStyle name="Comma 3 3 2" xfId="458" xr:uid="{18FEDC55-DFA9-400B-A7ED-A464C7BA3FB6}"/>
    <cellStyle name="Comma 3 3 2 2" xfId="774" xr:uid="{BDFA954E-898B-4E7D-8690-B0247CB6CDAC}"/>
    <cellStyle name="Comma 3 3 2 3" xfId="1035" xr:uid="{2FA9354B-B2D5-4328-AFE1-256ED361D40E}"/>
    <cellStyle name="Comma 3 3 2 4" xfId="1301" xr:uid="{B5F86F87-8A8B-4D68-9350-3EF8598B7765}"/>
    <cellStyle name="Comma 3 3 2 5" xfId="1563" xr:uid="{26757780-FC3D-43A7-8F04-62ECAA5FEB7D}"/>
    <cellStyle name="Comma 3 3 2 6" xfId="1829" xr:uid="{C9B892E9-572F-402C-AF0C-17B3B6A29705}"/>
    <cellStyle name="Comma 3 3 3" xfId="645" xr:uid="{BF1659DA-7E1F-44B7-816B-3ECC106B96A5}"/>
    <cellStyle name="Comma 3 3 4" xfId="906" xr:uid="{DDC67936-6959-486B-95BA-87CBB4FDCC68}"/>
    <cellStyle name="Comma 3 3 5" xfId="1172" xr:uid="{D7D1A219-0221-4FCF-9B82-9D59A35BDACC}"/>
    <cellStyle name="Comma 3 3 6" xfId="1434" xr:uid="{5B75DFCA-3AD3-47FD-8848-473DDD35AE78}"/>
    <cellStyle name="Comma 3 3 7" xfId="1700" xr:uid="{0DBDBB90-4835-4F3B-BCDD-ACFA0D83056D}"/>
    <cellStyle name="Comma 3 4" xfId="402" xr:uid="{A411F574-F496-46F1-AAD0-A21C3AB28906}"/>
    <cellStyle name="Comma 3 4 2" xfId="761" xr:uid="{8E78CFF5-FAC3-417B-8D05-6C0898C77C6B}"/>
    <cellStyle name="Comma 3 4 3" xfId="1022" xr:uid="{F0F0E21E-CCE5-4149-9B35-019D2D2D4D88}"/>
    <cellStyle name="Comma 3 4 4" xfId="1288" xr:uid="{F7519A50-CB22-4E96-A434-69706EEE6C0E}"/>
    <cellStyle name="Comma 3 4 5" xfId="1550" xr:uid="{41C6F826-06EE-4CD0-BCAE-DD9EF79B844A}"/>
    <cellStyle name="Comma 3 4 6" xfId="1816" xr:uid="{17169FAA-30D5-4A28-82FB-6A5D9360A577}"/>
    <cellStyle name="Comma 3 5" xfId="630" xr:uid="{683C036A-266A-431B-A30A-12E68388FEDC}"/>
    <cellStyle name="Comma 3 6" xfId="891" xr:uid="{31C80DBE-C9A4-449D-B912-286D278134ED}"/>
    <cellStyle name="Comma 3 7" xfId="1157" xr:uid="{182216BB-CF3A-4189-92C0-D46526F8B4DA}"/>
    <cellStyle name="Comma 3 8" xfId="1419" xr:uid="{66BB0D9C-D513-415D-8EE4-16766EFA48F9}"/>
    <cellStyle name="Comma 3 9" xfId="1685" xr:uid="{54D041B7-1E21-4C42-AE4E-B935F64C2BE6}"/>
    <cellStyle name="Comma 4" xfId="96" xr:uid="{D2FB5AD5-FD9E-4722-B755-FABC193C01EE}"/>
    <cellStyle name="Comma 4 10" xfId="1422" xr:uid="{AAA2A42F-8E48-4D29-A363-DD61DB7FD4A3}"/>
    <cellStyle name="Comma 4 11" xfId="1688" xr:uid="{2ED07586-2249-46D7-93E7-0C7895382A74}"/>
    <cellStyle name="Comma 4 2" xfId="207" xr:uid="{BF91D292-EF3E-4ED9-A05F-7DEF7E714AB8}"/>
    <cellStyle name="Comma 4 2 2" xfId="351" xr:uid="{7DDD1431-E650-4435-A2F2-FCB0C36A1922}"/>
    <cellStyle name="Comma 4 2 2 2" xfId="582" xr:uid="{36836B67-86E9-4555-99E1-8617DDBE91A0}"/>
    <cellStyle name="Comma 4 2 2 2 2" xfId="846" xr:uid="{8B473E80-E0AC-47E9-9D69-F5170EA4E956}"/>
    <cellStyle name="Comma 4 2 2 2 3" xfId="1107" xr:uid="{45446CF7-32DF-409F-BF52-7379CC14EB0A}"/>
    <cellStyle name="Comma 4 2 2 2 4" xfId="1373" xr:uid="{D841AFC3-FA25-468D-9146-0669B96300D4}"/>
    <cellStyle name="Comma 4 2 2 2 5" xfId="1635" xr:uid="{7A65D31B-32E0-4FC6-9B2D-219FD1485166}"/>
    <cellStyle name="Comma 4 2 2 2 6" xfId="1901" xr:uid="{9CAD5231-DBEF-4D04-95E8-20AE30113BAD}"/>
    <cellStyle name="Comma 4 2 2 3" xfId="717" xr:uid="{4A41EAE2-D29E-49B0-A315-793475582770}"/>
    <cellStyle name="Comma 4 2 2 4" xfId="978" xr:uid="{63C1711B-32DF-4722-9ECA-FD7CE98B9999}"/>
    <cellStyle name="Comma 4 2 2 5" xfId="1244" xr:uid="{7D005E39-DBD3-4615-8394-7FB58770E2FA}"/>
    <cellStyle name="Comma 4 2 2 6" xfId="1506" xr:uid="{3019192A-DCF1-486F-A78D-2D8348DB2780}"/>
    <cellStyle name="Comma 4 2 2 7" xfId="1772" xr:uid="{B8E0E244-63F4-4C44-B615-FB8D01790FB6}"/>
    <cellStyle name="Comma 4 2 3" xfId="472" xr:uid="{52FFEF55-75D4-41E7-8B6C-1791D25879D4}"/>
    <cellStyle name="Comma 4 2 3 2" xfId="782" xr:uid="{6988DECF-8231-43E7-9E54-5DAA0BF63F94}"/>
    <cellStyle name="Comma 4 2 3 3" xfId="1043" xr:uid="{CBE22FB9-35AE-4821-8AFF-A549BC0A3C09}"/>
    <cellStyle name="Comma 4 2 3 4" xfId="1309" xr:uid="{939566EF-242B-41B6-98B6-5ED87ACACB30}"/>
    <cellStyle name="Comma 4 2 3 5" xfId="1571" xr:uid="{0ED50A7C-27C3-41C2-BAAF-CC8538590CF7}"/>
    <cellStyle name="Comma 4 2 3 6" xfId="1837" xr:uid="{5F1CFC8E-630D-4B55-AB1F-8E7B6F31B7D8}"/>
    <cellStyle name="Comma 4 2 4" xfId="653" xr:uid="{6BDE257F-6C50-4CD6-AE70-ACA77C792CAE}"/>
    <cellStyle name="Comma 4 2 5" xfId="914" xr:uid="{39901567-2AD5-4803-8100-6FF81CE719B0}"/>
    <cellStyle name="Comma 4 2 6" xfId="1180" xr:uid="{BDA90C27-1A6A-4F18-8816-A2507B2BA44E}"/>
    <cellStyle name="Comma 4 2 7" xfId="1442" xr:uid="{496C4E9B-B852-4FB8-95BA-13309E8589B4}"/>
    <cellStyle name="Comma 4 2 8" xfId="1708" xr:uid="{C76F5954-7AD9-4AA1-A97A-2A6255E1B28D}"/>
    <cellStyle name="Comma 4 3" xfId="242" xr:uid="{D467DD6C-2083-4033-B2F7-7C89DFC728C1}"/>
    <cellStyle name="Comma 4 3 2" xfId="347" xr:uid="{3717B91C-8261-4A2B-B4B6-D8D389B7B08C}"/>
    <cellStyle name="Comma 4 3 2 2" xfId="578" xr:uid="{29DEF337-C7E8-4B28-A5CB-27DC5AF56A21}"/>
    <cellStyle name="Comma 4 3 2 2 2" xfId="842" xr:uid="{3C97CE1F-96A8-492E-8D67-504C2D969BD2}"/>
    <cellStyle name="Comma 4 3 2 2 3" xfId="1103" xr:uid="{AF969F53-98B8-4639-A654-B0EF6599312F}"/>
    <cellStyle name="Comma 4 3 2 2 4" xfId="1369" xr:uid="{DBDDC39F-21D2-4B99-929A-8DB636ACA19B}"/>
    <cellStyle name="Comma 4 3 2 2 5" xfId="1631" xr:uid="{D098A6EA-DAB1-4F4B-92BE-B0897D1554C3}"/>
    <cellStyle name="Comma 4 3 2 2 6" xfId="1897" xr:uid="{A9378D2E-A872-4C6A-9F51-D8F185B47391}"/>
    <cellStyle name="Comma 4 3 2 3" xfId="713" xr:uid="{93113DF9-8A7C-4A36-806B-06590E8D4ECA}"/>
    <cellStyle name="Comma 4 3 2 4" xfId="974" xr:uid="{7DEC80D2-3909-4AD0-9D3E-2ECF4D66FEB1}"/>
    <cellStyle name="Comma 4 3 2 5" xfId="1240" xr:uid="{B9C4EF30-E703-4804-BF1A-0D58BAD61BAF}"/>
    <cellStyle name="Comma 4 3 2 6" xfId="1502" xr:uid="{06E79AB0-EB8A-4A10-AC67-1CE7D6B3F749}"/>
    <cellStyle name="Comma 4 3 2 7" xfId="1768" xr:uid="{FA5772DD-072E-42A8-ADD8-7C07955214DF}"/>
    <cellStyle name="Comma 4 3 3" xfId="493" xr:uid="{934C7E60-0403-4356-928A-31A4150FA8CF}"/>
    <cellStyle name="Comma 4 3 3 2" xfId="796" xr:uid="{B0D188E6-F329-45AE-A70F-10A7D1058DB5}"/>
    <cellStyle name="Comma 4 3 3 3" xfId="1057" xr:uid="{4F500D5C-45A7-41C6-B2C2-5D63F8EF3402}"/>
    <cellStyle name="Comma 4 3 3 4" xfId="1323" xr:uid="{5F8BD075-C2D7-45EF-AF2E-3A7206E54A71}"/>
    <cellStyle name="Comma 4 3 3 5" xfId="1585" xr:uid="{8D9C4B85-E7CF-40F3-981E-DBD003274E07}"/>
    <cellStyle name="Comma 4 3 3 6" xfId="1851" xr:uid="{CFF6AE82-ACAD-4386-9E4B-B9B7AA3E6D88}"/>
    <cellStyle name="Comma 4 3 4" xfId="667" xr:uid="{70B09CE0-C691-483F-BA45-2C964FDF181C}"/>
    <cellStyle name="Comma 4 3 5" xfId="928" xr:uid="{BD3F2874-B534-415F-BF24-5D83157BA6B4}"/>
    <cellStyle name="Comma 4 3 6" xfId="1194" xr:uid="{37D3F03A-594C-4734-8461-01F603865533}"/>
    <cellStyle name="Comma 4 3 7" xfId="1456" xr:uid="{69323E65-6DC1-409E-BA3B-BF6A66716707}"/>
    <cellStyle name="Comma 4 3 8" xfId="1722" xr:uid="{A17300A8-93CC-4202-AA52-6E7BA2A0C7D5}"/>
    <cellStyle name="Comma 4 4" xfId="280" xr:uid="{9EA58687-BB32-4EF8-962A-005A9D275747}"/>
    <cellStyle name="Comma 4 4 2" xfId="518" xr:uid="{75D21B4F-A446-4DAA-B3C5-C6F11E8FF996}"/>
    <cellStyle name="Comma 4 4 2 2" xfId="815" xr:uid="{6B531674-6572-43CA-9FF4-3B2215556665}"/>
    <cellStyle name="Comma 4 4 2 3" xfId="1076" xr:uid="{145299FC-E7BC-4E40-AA06-FC3D9A35B448}"/>
    <cellStyle name="Comma 4 4 2 4" xfId="1342" xr:uid="{FA0D3640-6CBA-4855-9953-2C498F821DE3}"/>
    <cellStyle name="Comma 4 4 2 5" xfId="1604" xr:uid="{A00D67F5-259D-403C-84F2-A4097A0CE703}"/>
    <cellStyle name="Comma 4 4 2 6" xfId="1870" xr:uid="{823C1AAF-9537-4267-8465-AA4D5D484B65}"/>
    <cellStyle name="Comma 4 4 3" xfId="686" xr:uid="{8F12757D-F899-4C6F-A7EF-5B806C73B8BF}"/>
    <cellStyle name="Comma 4 4 4" xfId="947" xr:uid="{5B3123C2-4121-4FC0-A671-674D8958CDEC}"/>
    <cellStyle name="Comma 4 4 5" xfId="1213" xr:uid="{40FA9C35-CD25-42E1-A2EF-62CC3026A559}"/>
    <cellStyle name="Comma 4 4 6" xfId="1475" xr:uid="{1BCF8339-F9BA-4C0A-8790-6BD78A06C1ED}"/>
    <cellStyle name="Comma 4 4 7" xfId="1741" xr:uid="{9D479913-BF0F-4BA4-B9C1-BB0D7081D02B}"/>
    <cellStyle name="Comma 4 5" xfId="196" xr:uid="{AEE900B3-4C67-4034-B966-D45680C68C05}"/>
    <cellStyle name="Comma 4 5 2" xfId="466" xr:uid="{803A38D4-133E-416D-9A96-F8062152233F}"/>
    <cellStyle name="Comma 4 5 2 2" xfId="779" xr:uid="{965BB77E-7427-49B5-9265-DD0C51F5A11D}"/>
    <cellStyle name="Comma 4 5 2 3" xfId="1040" xr:uid="{085EEF6E-2D22-43C3-97FC-D4D4AC63E87D}"/>
    <cellStyle name="Comma 4 5 2 4" xfId="1306" xr:uid="{D7AC3887-EC0F-4387-AD56-CFF23CC0ADDD}"/>
    <cellStyle name="Comma 4 5 2 5" xfId="1568" xr:uid="{32700480-5E3E-4DCB-9DFD-A91070FCCA05}"/>
    <cellStyle name="Comma 4 5 2 6" xfId="1834" xr:uid="{D9B9954C-02A2-41C9-A3A5-CD91F059828A}"/>
    <cellStyle name="Comma 4 5 3" xfId="650" xr:uid="{E93D001D-5F0F-499E-A8B9-390D722F9DB8}"/>
    <cellStyle name="Comma 4 5 4" xfId="911" xr:uid="{4CCB63D2-9C8C-4D8E-9EEE-E004543ACF24}"/>
    <cellStyle name="Comma 4 5 5" xfId="1177" xr:uid="{66BFC87B-7B0D-47B9-B95E-971A391123D8}"/>
    <cellStyle name="Comma 4 5 6" xfId="1439" xr:uid="{3AEC731F-29A0-45CA-9721-9ED994D2304A}"/>
    <cellStyle name="Comma 4 5 7" xfId="1705" xr:uid="{212AD669-5210-4BC6-82E2-B1D6A1F25C36}"/>
    <cellStyle name="Comma 4 6" xfId="431" xr:uid="{908A4EF7-D9DE-4457-AEA8-D0DB7A9AA024}"/>
    <cellStyle name="Comma 4 6 2" xfId="764" xr:uid="{DBC99148-6BF3-42B7-8DC3-D4E270C0BB91}"/>
    <cellStyle name="Comma 4 6 3" xfId="1025" xr:uid="{4A2AC913-B58F-4C02-BAD6-3301792472A5}"/>
    <cellStyle name="Comma 4 6 4" xfId="1291" xr:uid="{CA4CB8AA-F936-446B-87C3-948B34EABF2D}"/>
    <cellStyle name="Comma 4 6 5" xfId="1553" xr:uid="{C8946AE9-CC41-40DD-A106-D03802B1243B}"/>
    <cellStyle name="Comma 4 6 6" xfId="1819" xr:uid="{476AE9C4-EAF2-4D89-B580-D2C972F366D6}"/>
    <cellStyle name="Comma 4 7" xfId="633" xr:uid="{CEE6DF80-AF72-4766-A3EC-42FB837AF14A}"/>
    <cellStyle name="Comma 4 8" xfId="894" xr:uid="{7CDB7BAD-A964-4B21-9CCF-D1F1DE1663D9}"/>
    <cellStyle name="Comma 4 9" xfId="1160" xr:uid="{7A24460E-1FDC-42CA-8226-B09EE4AB8F97}"/>
    <cellStyle name="Comma 5" xfId="48" xr:uid="{91DFF2D2-8E0F-40DC-AC5B-35E94809536B}"/>
    <cellStyle name="Comma 5 2" xfId="353" xr:uid="{5A0EC094-D1F8-4973-86E3-DEF759DF4CB4}"/>
    <cellStyle name="Comma 5 2 2" xfId="584" xr:uid="{8D5C5D95-79CA-4097-B1E6-6CE7F268BD26}"/>
    <cellStyle name="Comma 5 2 2 2" xfId="848" xr:uid="{810DAE28-D758-44F0-9B5E-A400ACF0602D}"/>
    <cellStyle name="Comma 5 2 2 3" xfId="1109" xr:uid="{1535340A-665D-4400-AEEA-E2186934FB0A}"/>
    <cellStyle name="Comma 5 2 2 4" xfId="1375" xr:uid="{42157449-AE59-4B7D-B62A-CE0080A8C709}"/>
    <cellStyle name="Comma 5 2 2 5" xfId="1637" xr:uid="{7411F76C-53E1-47E3-AA0D-5EEB7CD5A149}"/>
    <cellStyle name="Comma 5 2 2 6" xfId="1903" xr:uid="{6227D68C-6F85-4BC3-9991-1BC5EB501CAE}"/>
    <cellStyle name="Comma 5 2 3" xfId="719" xr:uid="{B9782867-823B-4A26-8B10-6B0398BD4BA4}"/>
    <cellStyle name="Comma 5 2 4" xfId="980" xr:uid="{FE4F6F8E-CDEB-4A39-B213-BB4A5BCA4B8F}"/>
    <cellStyle name="Comma 5 2 5" xfId="1246" xr:uid="{3C7AC1D2-BECA-4C88-B095-6C1F62AFCEEB}"/>
    <cellStyle name="Comma 5 2 6" xfId="1508" xr:uid="{85ABD4FD-02A8-4DDC-8C81-F7BE97FCC647}"/>
    <cellStyle name="Comma 5 2 7" xfId="1774" xr:uid="{33C99ABA-36B7-4192-AA81-AA0026D39CEE}"/>
    <cellStyle name="Comma 5 3" xfId="178" xr:uid="{A68FBC3B-6B9B-41A0-8E1C-1FF3F86437AF}"/>
    <cellStyle name="Comma 5 3 2" xfId="457" xr:uid="{82C96829-DE65-4B74-8B00-9F972FF1E590}"/>
    <cellStyle name="Comma 5 3 2 2" xfId="773" xr:uid="{B74D66FD-4AF1-4289-82E5-FAAB1F7D81FA}"/>
    <cellStyle name="Comma 5 3 2 3" xfId="1034" xr:uid="{9DC32451-C227-45C3-A2F0-73F7ED769C5E}"/>
    <cellStyle name="Comma 5 3 2 4" xfId="1300" xr:uid="{A3A26818-49B3-43D0-898A-1DF4E489F4E0}"/>
    <cellStyle name="Comma 5 3 2 5" xfId="1562" xr:uid="{D3B69AE8-8A6E-47E6-A610-6765E6F94EB8}"/>
    <cellStyle name="Comma 5 3 2 6" xfId="1828" xr:uid="{D4BCF7E6-04BF-4D8A-B271-89421EBE2B27}"/>
    <cellStyle name="Comma 5 3 3" xfId="644" xr:uid="{041FA71E-064D-47E2-BDF8-1CD7C4727DD8}"/>
    <cellStyle name="Comma 5 3 4" xfId="905" xr:uid="{ABF0B04F-5817-4CCE-B621-81DE08D7877F}"/>
    <cellStyle name="Comma 5 3 5" xfId="1171" xr:uid="{FF37073C-EEC2-4A27-B02A-A0A3B176A08C}"/>
    <cellStyle name="Comma 5 3 6" xfId="1433" xr:uid="{C2AB866D-AC26-481F-925A-E44F0A2E686D}"/>
    <cellStyle name="Comma 5 3 7" xfId="1699" xr:uid="{16F6710B-86B3-4DD4-8441-E0161CC68040}"/>
    <cellStyle name="Comma 5 4" xfId="415" xr:uid="{5AFD7FCA-4551-4058-A406-4E4535136CCC}"/>
    <cellStyle name="Comma 5 4 2" xfId="762" xr:uid="{A544FC2B-6649-43D8-957D-7324428A2DDB}"/>
    <cellStyle name="Comma 5 4 3" xfId="1023" xr:uid="{0D252BB7-3974-409D-BCF2-28D7A2621A86}"/>
    <cellStyle name="Comma 5 4 4" xfId="1289" xr:uid="{A341AB9D-A04D-4AD9-90DE-95B6605BCE24}"/>
    <cellStyle name="Comma 5 4 5" xfId="1551" xr:uid="{8EFF7114-E7C0-4FB5-A1B6-E8C953BAB042}"/>
    <cellStyle name="Comma 5 4 6" xfId="1817" xr:uid="{AC4C2FF1-2520-4012-A907-0C9CCF40C623}"/>
    <cellStyle name="Comma 5 5" xfId="631" xr:uid="{D837476E-E6B7-420D-8B1A-4C035418905D}"/>
    <cellStyle name="Comma 5 6" xfId="892" xr:uid="{23742FA5-0D8A-43EC-B4D6-3F844CBCAD26}"/>
    <cellStyle name="Comma 5 7" xfId="1158" xr:uid="{DB374339-76D4-4676-80F7-8CC80FB7AD82}"/>
    <cellStyle name="Comma 5 8" xfId="1420" xr:uid="{7183A8A0-30C1-4882-B20B-107580048B87}"/>
    <cellStyle name="Comma 5 9" xfId="1686" xr:uid="{3DA1A297-E278-4781-B83F-B5204AA519E4}"/>
    <cellStyle name="Comma 6" xfId="214" xr:uid="{602D0982-3DA9-4BBA-8A4A-0706C70DEFFF}"/>
    <cellStyle name="Comma 6 2" xfId="339" xr:uid="{4C586E64-5C1A-4830-8916-607A83824C69}"/>
    <cellStyle name="Comma 6 2 2" xfId="570" xr:uid="{D39986A9-2F3C-4864-9AA3-59CF73B6997A}"/>
    <cellStyle name="Comma 6 2 2 2" xfId="835" xr:uid="{69B19138-D8CB-4627-8F5C-8BE9A02217AC}"/>
    <cellStyle name="Comma 6 2 2 3" xfId="1096" xr:uid="{20D133BD-7448-4380-8D94-A9420A2E1160}"/>
    <cellStyle name="Comma 6 2 2 4" xfId="1362" xr:uid="{8A40CF97-99FE-40E9-89D6-3D4D2B920EF2}"/>
    <cellStyle name="Comma 6 2 2 5" xfId="1624" xr:uid="{E53E9149-59FB-4511-AE9F-32D22B0745AA}"/>
    <cellStyle name="Comma 6 2 2 6" xfId="1890" xr:uid="{DAD65862-383F-45BA-B39D-FDBF4CC58433}"/>
    <cellStyle name="Comma 6 2 3" xfId="706" xr:uid="{9638F575-C807-4E05-963D-AE729F4CE684}"/>
    <cellStyle name="Comma 6 2 4" xfId="967" xr:uid="{ABFE6F8E-4F5D-49EE-A666-58991EB2F2CB}"/>
    <cellStyle name="Comma 6 2 5" xfId="1233" xr:uid="{DBFA3528-9D99-43CB-A5E9-5DC6A0D80AD0}"/>
    <cellStyle name="Comma 6 2 6" xfId="1495" xr:uid="{1C21850F-3E24-4D78-81FC-10C69F23B9ED}"/>
    <cellStyle name="Comma 6 2 7" xfId="1761" xr:uid="{FE00D683-24B6-42E5-9E87-62A4EE05456B}"/>
    <cellStyle name="Comma 6 3" xfId="254" xr:uid="{B8F8C7B0-FAFA-4C3F-8369-CD227F08156A}"/>
    <cellStyle name="Comma 6 3 2" xfId="501" xr:uid="{BB9B7851-DC5B-4EC9-BE16-5ED1C46F8AB9}"/>
    <cellStyle name="Comma 6 3 2 2" xfId="801" xr:uid="{4F208216-6596-4881-B862-0EBE47717C91}"/>
    <cellStyle name="Comma 6 3 2 3" xfId="1062" xr:uid="{BBBB7975-87E3-4D50-BEA1-272978631AC8}"/>
    <cellStyle name="Comma 6 3 2 4" xfId="1328" xr:uid="{DD52D809-4225-44E5-A388-534B463333DB}"/>
    <cellStyle name="Comma 6 3 2 5" xfId="1590" xr:uid="{6EC22038-BD62-45F1-A9B3-736B79D65F50}"/>
    <cellStyle name="Comma 6 3 2 6" xfId="1856" xr:uid="{D293D3C0-80F9-40CB-9846-E19EB3E26FBB}"/>
    <cellStyle name="Comma 6 3 3" xfId="672" xr:uid="{FA395E4F-0C3E-4ACC-9B7F-E12371B80E2C}"/>
    <cellStyle name="Comma 6 3 4" xfId="933" xr:uid="{A25FA97F-2435-415F-AB24-DA468419DE4F}"/>
    <cellStyle name="Comma 6 3 5" xfId="1199" xr:uid="{4B44219C-DA75-42F1-9305-EF04E9EDD17D}"/>
    <cellStyle name="Comma 6 3 6" xfId="1461" xr:uid="{620A110A-C5A1-4125-A809-1FA0CAC561FC}"/>
    <cellStyle name="Comma 6 3 7" xfId="1727" xr:uid="{ABAE7CEB-CD7F-448A-8884-B9C3313FF794}"/>
    <cellStyle name="Comma 6 4" xfId="475" xr:uid="{82ED1421-F8EE-4F1A-BBA5-4D646D2981C9}"/>
    <cellStyle name="Comma 6 4 2" xfId="785" xr:uid="{2C463229-4E1E-434F-8E29-4E0FD7E3AB1B}"/>
    <cellStyle name="Comma 6 4 3" xfId="1046" xr:uid="{8AB7E30E-977B-4A42-9E46-CE73A06BBCF1}"/>
    <cellStyle name="Comma 6 4 4" xfId="1312" xr:uid="{6989EB00-BEC0-4F31-AC8D-27709A188525}"/>
    <cellStyle name="Comma 6 4 5" xfId="1574" xr:uid="{80552253-E26B-45C4-94B1-A2DAF0162864}"/>
    <cellStyle name="Comma 6 4 6" xfId="1840" xr:uid="{10C15C01-D177-4D88-84E5-1661A3C7D0B7}"/>
    <cellStyle name="Comma 6 5" xfId="656" xr:uid="{F3123C88-9105-4D88-8175-5E8F10F480B6}"/>
    <cellStyle name="Comma 6 6" xfId="917" xr:uid="{5AA3437F-0B13-4584-A265-5E01EFCBCE4C}"/>
    <cellStyle name="Comma 6 7" xfId="1183" xr:uid="{00F84955-75D2-4CCF-972B-883E1E227C0D}"/>
    <cellStyle name="Comma 6 8" xfId="1445" xr:uid="{5252471E-EE66-48BF-98CF-56B81CCEB8D3}"/>
    <cellStyle name="Comma 6 9" xfId="1711" xr:uid="{8F38BB83-B9A0-4A79-946A-3FF8DFD87272}"/>
    <cellStyle name="Comma 7" xfId="322" xr:uid="{FB9CE842-643C-479F-BDB8-7FF49010DDA1}"/>
    <cellStyle name="Comma 7 2" xfId="557" xr:uid="{9BF7A3FE-66D7-403F-8B12-739C6CDD630E}"/>
    <cellStyle name="Comma 7 2 2" xfId="824" xr:uid="{379BECF7-E028-41E9-AB9D-980140156DFB}"/>
    <cellStyle name="Comma 7 2 3" xfId="1085" xr:uid="{FE979BE0-0C4C-47E3-AECB-1009F067CA96}"/>
    <cellStyle name="Comma 7 2 4" xfId="1351" xr:uid="{70889A13-CE22-4A66-93DC-5D1B4C42C85D}"/>
    <cellStyle name="Comma 7 2 5" xfId="1613" xr:uid="{51850071-4CAB-4C1D-82EB-5BEE5B1549E5}"/>
    <cellStyle name="Comma 7 2 6" xfId="1879" xr:uid="{42C34455-4132-4A32-BBBE-FABFA4836A56}"/>
    <cellStyle name="Comma 7 3" xfId="695" xr:uid="{AE209BCE-C042-4E4A-B1A2-99342D36F9EB}"/>
    <cellStyle name="Comma 7 4" xfId="956" xr:uid="{A1A99791-B96A-4E15-95F4-D695A2879472}"/>
    <cellStyle name="Comma 7 5" xfId="1222" xr:uid="{A47D3572-E498-446C-975A-89E230119E41}"/>
    <cellStyle name="Comma 7 6" xfId="1484" xr:uid="{892039A9-B524-485A-B1A2-6FD40B51247C}"/>
    <cellStyle name="Comma 7 7" xfId="1750" xr:uid="{754BA4F3-6560-426E-9944-791B8CE69E4A}"/>
    <cellStyle name="Comma 8" xfId="267" xr:uid="{B424F60A-2EFB-4E83-8711-C603E8E94C67}"/>
    <cellStyle name="Comma 8 2" xfId="512" xr:uid="{F6A94318-F4CC-4283-B8B6-12F57C0AB6E4}"/>
    <cellStyle name="Comma 8 2 2" xfId="810" xr:uid="{AFB23A54-5A8D-4EB6-BBF4-B08474A7703A}"/>
    <cellStyle name="Comma 8 2 3" xfId="1071" xr:uid="{E5746910-50A4-4076-92C0-2321923639CE}"/>
    <cellStyle name="Comma 8 2 4" xfId="1337" xr:uid="{5DF8A738-BDD7-424E-AD32-3E7C2D4659C4}"/>
    <cellStyle name="Comma 8 2 5" xfId="1599" xr:uid="{F537FF09-653F-4C96-8D6A-CD2B470EEF6A}"/>
    <cellStyle name="Comma 8 2 6" xfId="1865" xr:uid="{C3063339-0832-431A-A407-F3C54975FAF9}"/>
    <cellStyle name="Comma 8 3" xfId="681" xr:uid="{14A48D1B-B7D8-409A-BC4F-F52EF7380E86}"/>
    <cellStyle name="Comma 8 4" xfId="942" xr:uid="{686A0E51-2118-4F27-9359-BF222BC354C4}"/>
    <cellStyle name="Comma 8 5" xfId="1208" xr:uid="{16D22C62-DA4A-4AB9-84C2-4D4F3FFC4D95}"/>
    <cellStyle name="Comma 8 6" xfId="1470" xr:uid="{FF0F9BF7-94CD-41B6-9D0F-EFEB801C9F62}"/>
    <cellStyle name="Comma 8 7" xfId="1736" xr:uid="{9444C444-EDA5-4CE4-AC14-C34DEFD3F5D7}"/>
    <cellStyle name="Comma 9" xfId="269" xr:uid="{A201CD11-B43D-435F-BDD2-42F39167709B}"/>
    <cellStyle name="Comma 9 2" xfId="513" xr:uid="{96E9E99C-5C9B-418E-84BA-974315CC97C5}"/>
    <cellStyle name="Comma 9 2 2" xfId="811" xr:uid="{3789E9BA-64AA-4B6D-B829-A72E644EB6B3}"/>
    <cellStyle name="Comma 9 2 3" xfId="1072" xr:uid="{1E78FDBE-7DE3-4740-872D-00BAD5A8E9D8}"/>
    <cellStyle name="Comma 9 2 4" xfId="1338" xr:uid="{C075FC5B-0296-4215-ABF1-AD8853CC990E}"/>
    <cellStyle name="Comma 9 2 5" xfId="1600" xr:uid="{784B0226-1CB8-4523-8BE3-D289BA987BEC}"/>
    <cellStyle name="Comma 9 2 6" xfId="1866" xr:uid="{3E07E418-F47F-4825-92E3-C98EB6A92C58}"/>
    <cellStyle name="Comma 9 3" xfId="682" xr:uid="{E3D2FA00-C986-426D-9177-B353921FEF33}"/>
    <cellStyle name="Comma 9 4" xfId="943" xr:uid="{BA417A18-114B-4AFE-8398-AEE8CA1CCB85}"/>
    <cellStyle name="Comma 9 5" xfId="1209" xr:uid="{3EA9B9AD-994F-40A5-A936-33473FB9B3C1}"/>
    <cellStyle name="Comma 9 6" xfId="1471" xr:uid="{120D02DC-E826-4B7F-ACD0-E9DB6A504DD2}"/>
    <cellStyle name="Comma 9 7" xfId="1737" xr:uid="{2AE8DEE5-AB18-43E1-B722-63F4A6889C4B}"/>
    <cellStyle name="Explanatory Text 2" xfId="144" xr:uid="{42EAD540-163F-4C56-BED2-6843F2E22A96}"/>
    <cellStyle name="Explanatory Text 3" xfId="97" xr:uid="{A3181B7D-2D3E-43BC-9425-5FAF45F4C6C0}"/>
    <cellStyle name="Explanatory Text 4" xfId="49" xr:uid="{C949C314-FDE6-4E94-B80D-D23D4061430F}"/>
    <cellStyle name="Good 2" xfId="145" xr:uid="{3743229F-1F2F-44B5-8A0D-91988B71964A}"/>
    <cellStyle name="Good 3" xfId="98" xr:uid="{9E3A6BB9-1C08-4C13-A198-E9FF3F7142EE}"/>
    <cellStyle name="Good 4" xfId="50" xr:uid="{AD17D922-9276-4871-BAD6-B17329B250D2}"/>
    <cellStyle name="Heading 1 2" xfId="146" xr:uid="{F02C4008-183F-494F-B6B5-BA88D7A84150}"/>
    <cellStyle name="Heading 1 3" xfId="99" xr:uid="{A48054D0-3258-4F9A-AD94-076C9E2D1A8E}"/>
    <cellStyle name="Heading 1 4" xfId="51" xr:uid="{DD505990-563C-4847-9A87-C12022B7D834}"/>
    <cellStyle name="Heading 2 2" xfId="147" xr:uid="{315B259D-7D20-4E64-A8C7-7B55DC647C12}"/>
    <cellStyle name="Heading 2 3" xfId="100" xr:uid="{F1BAE135-ACBF-46D4-A6D0-B15844AA3B97}"/>
    <cellStyle name="Heading 2 4" xfId="52" xr:uid="{64C41411-4DFF-4360-9EC6-A3C791E4E0B9}"/>
    <cellStyle name="Heading 3 2" xfId="148" xr:uid="{182FD973-0D52-41CC-953A-53521429B9BD}"/>
    <cellStyle name="Heading 3 3" xfId="101" xr:uid="{6F940067-DF32-4D00-BF8F-7FB174FCB91E}"/>
    <cellStyle name="Heading 3 4" xfId="53" xr:uid="{70C4E8D2-61A2-45C3-93E5-64403B98469F}"/>
    <cellStyle name="Heading 4 2" xfId="149" xr:uid="{CA6D70D1-A6AB-4FD3-9C13-18C782477052}"/>
    <cellStyle name="Heading 4 3" xfId="102" xr:uid="{5C0E8964-7849-4564-957C-3C9F7A992ABE}"/>
    <cellStyle name="Heading 4 4" xfId="54" xr:uid="{DEEA6E7F-17D0-4853-8DC0-91EA099BC0D4}"/>
    <cellStyle name="Input 2" xfId="150" xr:uid="{8E260A22-ACC5-4D1D-9F5D-45B7B092B84C}"/>
    <cellStyle name="Input 3" xfId="103" xr:uid="{20E20524-FAE0-437B-9F20-6DA4C1332220}"/>
    <cellStyle name="Input 4" xfId="55" xr:uid="{2FDB5549-FBB5-42A2-9A89-149EBAFDC764}"/>
    <cellStyle name="Linked Cell 2" xfId="151" xr:uid="{8718764E-00B3-431D-A8BA-D44849C24DA9}"/>
    <cellStyle name="Linked Cell 3" xfId="104" xr:uid="{FEF18867-DFEC-4427-B53E-8AE5FDDBAC44}"/>
    <cellStyle name="Linked Cell 4" xfId="56" xr:uid="{816C6180-6F3F-45C9-8652-40C46351181A}"/>
    <cellStyle name="Neutral 2" xfId="152" xr:uid="{DF901AC0-8553-4182-98AC-9F63B446FAAF}"/>
    <cellStyle name="Neutral 3" xfId="105" xr:uid="{388B5433-0754-4670-A0BA-4F346F031FF0}"/>
    <cellStyle name="Neutral 4" xfId="57" xr:uid="{885625A6-E42D-49C6-8BED-DE21AFB553D3}"/>
    <cellStyle name="Normal" xfId="0" builtinId="0"/>
    <cellStyle name="Normal 10" xfId="271" xr:uid="{11C504A4-9E44-40D8-9133-6CE9D3BD8BB0}"/>
    <cellStyle name="Normal 100" xfId="2022" xr:uid="{7C60A7C8-ACB3-49DE-A51D-12BFB9679807}"/>
    <cellStyle name="Normal 101" xfId="2023" xr:uid="{BD17FA74-6D2D-469A-BF10-676210087CF8}"/>
    <cellStyle name="Normal 102" xfId="2024" xr:uid="{9E72BCE0-EBBB-4D58-9C9F-17C32D9A21CF}"/>
    <cellStyle name="Normal 103" xfId="2025" xr:uid="{313ABA86-4DDA-40C8-8550-6B1114EBC664}"/>
    <cellStyle name="Normal 104" xfId="2026" xr:uid="{9FE94870-F4BF-4DB1-9336-31B96CCF9AA0}"/>
    <cellStyle name="Normal 105" xfId="2027" xr:uid="{D12AD999-FCC1-43C3-BB49-6497E8BEB13B}"/>
    <cellStyle name="Normal 106" xfId="2028" xr:uid="{ADC8ADFA-E9DE-4858-B897-1B0E9FE435B1}"/>
    <cellStyle name="Normal 107" xfId="2031" xr:uid="{C7667BD4-B829-4AF8-987B-3C8EFEE7EFF0}"/>
    <cellStyle name="Normal 108" xfId="2032" xr:uid="{28DC3372-5749-4F58-8FA8-3A90EC47EB18}"/>
    <cellStyle name="Normal 109" xfId="2033" xr:uid="{51F90DD2-F3C6-4458-9015-CB9BF83ACFDC}"/>
    <cellStyle name="Normal 11" xfId="302" xr:uid="{9FF1C682-FEEC-463D-8D15-3BABE39BFACD}"/>
    <cellStyle name="Normal 11 2" xfId="265" xr:uid="{7F181205-3814-4F9B-8DBF-0D89AEF73073}"/>
    <cellStyle name="Normal 11 3" xfId="376" xr:uid="{02792A42-6BFA-4C43-AC06-F17729108358}"/>
    <cellStyle name="Normal 110" xfId="2034" xr:uid="{AA98CCC0-103E-406A-B32A-E9393CEA8BA8}"/>
    <cellStyle name="Normal 111" xfId="2029" xr:uid="{AB58281C-12DB-47D5-A1E8-BE58A07AE9AE}"/>
    <cellStyle name="Normal 112" xfId="2030" xr:uid="{55DCF500-7F3B-4F0B-8745-3C5403D0B9DA}"/>
    <cellStyle name="Normal 113" xfId="2036" xr:uid="{4034D87D-8BAF-451C-BE79-E16434167908}"/>
    <cellStyle name="Normal 114" xfId="2035" xr:uid="{060EE155-EE60-4F32-8883-83D2F5E6D25E}"/>
    <cellStyle name="Normal 115" xfId="2037" xr:uid="{73E33FF4-95B2-492E-B248-FDEA2A9DF91C}"/>
    <cellStyle name="Normal 116" xfId="2038" xr:uid="{42C65AC5-786F-4CC2-8C54-506472F78B79}"/>
    <cellStyle name="Normal 12" xfId="273" xr:uid="{BA927EC8-6279-42FC-8239-848359DBB84A}"/>
    <cellStyle name="Normal 12 2" xfId="2012" xr:uid="{5FDE862E-3DC0-4372-9123-CD5F740546FE}"/>
    <cellStyle name="Normal 13" xfId="317" xr:uid="{3E6731B2-5EE7-4D34-A685-5F6075D6E283}"/>
    <cellStyle name="Normal 14" xfId="274" xr:uid="{12584EC5-B6EC-4534-A703-87203571921C}"/>
    <cellStyle name="Normal 14 2" xfId="368" xr:uid="{5D39829F-D7EE-493F-BB94-2C2A837CA64A}"/>
    <cellStyle name="Normal 15" xfId="268" xr:uid="{BA90C235-96FE-43EC-A931-93C603A0DE67}"/>
    <cellStyle name="Normal 15 2" xfId="367" xr:uid="{B13CE18E-60F0-427C-9B81-9560F80467D8}"/>
    <cellStyle name="Normal 16" xfId="252" xr:uid="{975CA9FE-B249-466B-9D27-CE1760A84A42}"/>
    <cellStyle name="Normal 16 2" xfId="358" xr:uid="{9206DE89-1704-4224-A9BE-F3B613BB5F00}"/>
    <cellStyle name="Normal 17" xfId="174" xr:uid="{133B2930-C200-41DB-9A39-6063DA65BB5C}"/>
    <cellStyle name="Normal 17 2" xfId="454" xr:uid="{931308B6-DD32-47EC-A6F2-095CB6280BCE}"/>
    <cellStyle name="Normal 18" xfId="625" xr:uid="{EDE6BF1A-0E3C-4DA6-8D2C-0B9DBB30F364}"/>
    <cellStyle name="Normal 19" xfId="626" xr:uid="{DFA84AD3-0DCD-476E-8878-38E1A4473691}"/>
    <cellStyle name="Normal 2" xfId="1" xr:uid="{CCBBC201-591B-45C3-A6BD-04BFFE7A9356}"/>
    <cellStyle name="Normal 2 2" xfId="9" xr:uid="{130694C6-0BCE-48F6-8AFB-1F5CEA6F626B}"/>
    <cellStyle name="Normal 2 2 2" xfId="184" xr:uid="{F8B2F2FA-AD94-486A-AE66-F397B0F993C3}"/>
    <cellStyle name="Normal 2 2 2 2" xfId="188" xr:uid="{53B5C62E-5C99-4EBE-82CF-9C7FCCECBBFC}"/>
    <cellStyle name="Normal 2 2 2 2 2" xfId="190" xr:uid="{CCF599B2-5E8E-4B72-8A1E-3543547B17B8}"/>
    <cellStyle name="Normal 2 2 2 2 2 2" xfId="203" xr:uid="{5C4B5CAA-B9EE-4929-8319-9988F8B81207}"/>
    <cellStyle name="Normal 2 2 2 2 2 2 2" xfId="205" xr:uid="{3AA267D7-C32D-4A8E-9C25-C72418777684}"/>
    <cellStyle name="Normal 2 2 2 3" xfId="200" xr:uid="{10018AFD-8B2B-48B9-9170-99F6B38E63BC}"/>
    <cellStyle name="Normal 2 2 3" xfId="199" xr:uid="{E0069A0D-F107-4F83-B68C-23178430CA0E}"/>
    <cellStyle name="Normal 2 2 3 2" xfId="326" xr:uid="{CFB87B2A-F37B-4C3E-B277-7B0E8130C182}"/>
    <cellStyle name="Normal 2 2 3 3" xfId="323" xr:uid="{B37B194E-29FF-4461-83CA-7A6D4F915039}"/>
    <cellStyle name="Normal 2 2 4" xfId="172" xr:uid="{066F554C-2364-4DF8-9D02-53601CD1AE6F}"/>
    <cellStyle name="Normal 2 2 5" xfId="179" xr:uid="{48A9DF1D-1C5B-42A7-B989-6C80AF4786CA}"/>
    <cellStyle name="Normal 2 2 6" xfId="66" xr:uid="{90C1B80A-52A1-490F-9F6D-6876CCD58A5E}"/>
    <cellStyle name="Normal 2 3" xfId="153" xr:uid="{5039868B-DCA1-48C5-B0BD-7C4BE7822FA5}"/>
    <cellStyle name="Normal 2 3 2" xfId="186" xr:uid="{65D84090-D113-4631-B0E3-6A76BFF2A5D4}"/>
    <cellStyle name="Normal 2 3 2 2" xfId="192" xr:uid="{0B0CF989-D411-4E98-B4D0-B7B54C1517CF}"/>
    <cellStyle name="Normal 2 3 2 3" xfId="225" xr:uid="{A560145C-3514-4D63-B362-F2D2142D6B54}"/>
    <cellStyle name="Normal 2 3 2 4" xfId="240" xr:uid="{CA42B05A-FCE3-46EF-B115-E91DDF5018D7}"/>
    <cellStyle name="Normal 2 3 3" xfId="221" xr:uid="{A8BB7ACF-4162-44C0-9EFC-C172D4D29E05}"/>
    <cellStyle name="Normal 2 3 4" xfId="235" xr:uid="{D5F5C5CC-9158-475E-95A9-EB5E940815E2}"/>
    <cellStyle name="Normal 2 3 5" xfId="181" xr:uid="{898E59C9-6116-49B0-A2DC-E791E6165C6A}"/>
    <cellStyle name="Normal 2 4" xfId="106" xr:uid="{CFE03607-EE2E-4875-B8AC-1AE7F068FBEF}"/>
    <cellStyle name="Normal 2 4 2" xfId="209" xr:uid="{81085C65-0542-4FAA-B0BD-BEE3F8050DB9}"/>
    <cellStyle name="Normal 2 4 2 2" xfId="330" xr:uid="{2032D8DC-5658-48DF-9601-98791343B862}"/>
    <cellStyle name="Normal 2 4 2 3" xfId="328" xr:uid="{67103D9D-EF15-4612-BACE-58CA6771FCDA}"/>
    <cellStyle name="Normal 2 4 3" xfId="197" xr:uid="{71AD3198-9DEB-4CB9-986B-BC3E2ABF275C}"/>
    <cellStyle name="Normal 2 5" xfId="58" xr:uid="{C028668D-ACE9-4538-85A3-307DCF58725D}"/>
    <cellStyle name="Normal 2 6" xfId="215" xr:uid="{727F2C84-8680-4758-9B86-F96A8C0B75CB}"/>
    <cellStyle name="Normal 2 7" xfId="216" xr:uid="{B7B1CCD2-0403-4CED-B3D9-D778D740195B}"/>
    <cellStyle name="Normal 2 7 2" xfId="255" xr:uid="{EB1D76BF-8753-4C4F-BB17-C718D42ABF51}"/>
    <cellStyle name="Normal 2 8" xfId="230" xr:uid="{BA826829-E95D-420E-80F1-0F00E72AD4E1}"/>
    <cellStyle name="Normal 2 9" xfId="15" xr:uid="{0684DB6D-ADDE-4EDE-BED3-47D2B8B518B8}"/>
    <cellStyle name="Normal 20" xfId="627" xr:uid="{2EC86942-781F-4ED1-95C7-4AEF3F19F772}"/>
    <cellStyle name="Normal 20 2" xfId="1150" xr:uid="{7DF5DAA5-6DEF-4543-AB65-B75D2CC871C0}"/>
    <cellStyle name="Normal 21" xfId="1151" xr:uid="{030B2574-0612-488D-A9B6-96D81E644AB7}"/>
    <cellStyle name="Normal 22" xfId="1152" xr:uid="{9105E58D-F4D6-4C98-91E8-D5A0C98856AD}"/>
    <cellStyle name="Normal 23" xfId="1153" xr:uid="{F13481A6-0286-45D0-97A5-CCE4DDA49B4F}"/>
    <cellStyle name="Normal 24" xfId="1154" xr:uid="{F11D683B-12E0-4881-BEF1-36776D46FFA1}"/>
    <cellStyle name="Normal 25" xfId="1416" xr:uid="{E3AFBFFE-8BAD-41E5-B9D7-AF1F17FF4F28}"/>
    <cellStyle name="Normal 25 2" xfId="1678" xr:uid="{E498D437-3BDB-4F42-B772-F683EB4CB4F6}"/>
    <cellStyle name="Normal 26" xfId="1679" xr:uid="{6236921A-397D-4DCF-AB26-F3FEEEBAA9F2}"/>
    <cellStyle name="Normal 26 2" xfId="1952" xr:uid="{4A73642E-51D0-4F59-A076-8770ACF24C33}"/>
    <cellStyle name="Normal 27" xfId="1680" xr:uid="{A830690D-4B56-4C1A-BD0E-9523D6DDA0FA}"/>
    <cellStyle name="Normal 28" xfId="1681" xr:uid="{4A47B20E-0DFF-4D20-A689-99107DC85D3C}"/>
    <cellStyle name="Normal 29" xfId="1682" xr:uid="{899E252E-F605-40AE-877D-330D3F398713}"/>
    <cellStyle name="Normal 29 2" xfId="1944" xr:uid="{87AB17BD-A88B-41BE-86CB-9964DBF467BF}"/>
    <cellStyle name="Normal 3" xfId="2" xr:uid="{2BB27432-BC6F-466E-B8DB-92CC9DCA8D66}"/>
    <cellStyle name="Normal 3 2" xfId="6" xr:uid="{FC156C9E-FE64-409A-BB4C-3A9E2375BDAF}"/>
    <cellStyle name="Normal 3 2 2" xfId="12" xr:uid="{E1F40460-5736-4DDA-BD03-AE173D23AE29}"/>
    <cellStyle name="Normal 3 2 2 2" xfId="245" xr:uid="{70F699D7-586F-4C9E-AB94-5C2A3724140E}"/>
    <cellStyle name="Normal 3 2 2 2 2" xfId="496" xr:uid="{A111ECD9-9452-447C-ACAA-629205AA5503}"/>
    <cellStyle name="Normal 3 2 2 3" xfId="284" xr:uid="{29AA92C0-89CB-416C-ADA9-8D594E68657D}"/>
    <cellStyle name="Normal 3 2 2 3 2" xfId="522" xr:uid="{90080517-C662-4D4F-8A81-4A85B0BA46D8}"/>
    <cellStyle name="Normal 3 2 2 4" xfId="469" xr:uid="{9A3A8318-089E-4C99-9ECF-728E78C49A84}"/>
    <cellStyle name="Normal 3 2 3" xfId="236" xr:uid="{FB734569-012F-4364-A029-522DC00F242F}"/>
    <cellStyle name="Normal 3 2 3 2" xfId="489" xr:uid="{D301AF01-0E0A-4D5A-81DC-9F4DC2F1E2BC}"/>
    <cellStyle name="Normal 3 2 4" xfId="277" xr:uid="{3CFB226F-8D29-40EE-A3D2-98515E6300B0}"/>
    <cellStyle name="Normal 3 2 4 2" xfId="515" xr:uid="{14121171-D00C-4676-9883-D3207AC8640D}"/>
    <cellStyle name="Normal 3 2 5" xfId="182" xr:uid="{731FA537-E466-470F-9257-E5A55491F0CA}"/>
    <cellStyle name="Normal 3 2 5 2" xfId="459" xr:uid="{A236CAFD-1B92-4425-B585-470AFB0D5981}"/>
    <cellStyle name="Normal 3 2 6" xfId="417" xr:uid="{6EEC492E-5E50-4D08-9C91-51FFCA003A4D}"/>
    <cellStyle name="Normal 3 2 7" xfId="2039" xr:uid="{4EE6FC62-84EE-41FB-8D28-9EC172A1CE82}"/>
    <cellStyle name="Normal 3 3" xfId="10" xr:uid="{20F3CB9E-2016-48AF-9C6F-943614708389}"/>
    <cellStyle name="Normal 3 3 2" xfId="243" xr:uid="{4BE160A9-192B-4E1C-BCA6-CB62D33550ED}"/>
    <cellStyle name="Normal 3 3 2 2" xfId="494" xr:uid="{33782A6E-BBC0-4CB7-882E-E59226E6215C}"/>
    <cellStyle name="Normal 3 3 3" xfId="281" xr:uid="{E78BF5F7-565F-4A94-8F99-1E50EE51FF7D}"/>
    <cellStyle name="Normal 3 3 3 2" xfId="519" xr:uid="{C4C7CA7F-D285-4D96-9DE9-42E9752ABD77}"/>
    <cellStyle name="Normal 3 3 4" xfId="198" xr:uid="{5D599E42-EE5B-479E-A2EC-8A9867733018}"/>
    <cellStyle name="Normal 3 3 4 2" xfId="467" xr:uid="{C8E91CD5-2754-4A32-962B-5ED7838AF68C}"/>
    <cellStyle name="Normal 3 3 5" xfId="159" xr:uid="{40589A21-9901-44D0-B2D6-D6BA02A15129}"/>
    <cellStyle name="Normal 3 4" xfId="11" xr:uid="{9F04A632-F5B3-43A9-B024-2A186299CB05}"/>
    <cellStyle name="Normal 3 4 2" xfId="338" xr:uid="{BFC4614F-3F65-463D-8AD0-DA3B12F349C1}"/>
    <cellStyle name="Normal 3 4 2 2" xfId="569" xr:uid="{435F8607-E58E-4FF2-B1F0-2B7B18173FC6}"/>
    <cellStyle name="Normal 3 4 3" xfId="217" xr:uid="{E2518C5C-FBE6-4E12-AF5A-0A65C39CB510}"/>
    <cellStyle name="Normal 3 4 3 2" xfId="476" xr:uid="{B5E54011-13F6-46D0-8B5D-F12562405EAD}"/>
    <cellStyle name="Normal 3 5" xfId="65" xr:uid="{EFCCB84C-B92A-4786-BAAC-3CBA7CBA3A9B}"/>
    <cellStyle name="Normal 3 5 2" xfId="231" xr:uid="{F58D2960-8FAC-41AC-A698-51BB23A6ADDF}"/>
    <cellStyle name="Normal 3 5 2 2" xfId="485" xr:uid="{62533A92-189F-474D-B2D3-70ABD735E477}"/>
    <cellStyle name="Normal 3 6" xfId="175" xr:uid="{8DD099C8-96A6-4AF0-8C9C-64D002C51B62}"/>
    <cellStyle name="Normal 3 6 2" xfId="455" xr:uid="{9BC4044B-7060-42DC-98BD-FA19331ED044}"/>
    <cellStyle name="Normal 3 7" xfId="400" xr:uid="{E63D62C9-B5DA-44CD-8E9B-31864E2B9836}"/>
    <cellStyle name="Normal 3 8" xfId="1951" xr:uid="{9CB18182-D4AF-4242-9534-C90710238F9D}"/>
    <cellStyle name="Normal 30" xfId="1945" xr:uid="{F2B1CBE9-B25D-4811-8C35-555EF989F9C0}"/>
    <cellStyle name="Normal 31" xfId="1946" xr:uid="{99AC7376-BB0A-4140-A66C-D9FA5BCA38B9}"/>
    <cellStyle name="Normal 32" xfId="1947" xr:uid="{22AE655E-744E-4E42-8662-A223BC8CEDC2}"/>
    <cellStyle name="Normal 33" xfId="1948" xr:uid="{2C54B33B-F535-4134-ADFD-7465779598CB}"/>
    <cellStyle name="Normal 34" xfId="1949" xr:uid="{E6BC48E2-39DC-40B9-A328-2BE7A6C2D31B}"/>
    <cellStyle name="Normal 35" xfId="1950" xr:uid="{D8C038EE-7324-4AD8-BB15-0B08E402AB21}"/>
    <cellStyle name="Normal 36" xfId="1955" xr:uid="{E8F5846B-F258-4224-926B-33B89D404C0D}"/>
    <cellStyle name="Normal 37" xfId="1956" xr:uid="{9D853673-E0F9-4FB8-974F-8F0D468A33B2}"/>
    <cellStyle name="Normal 38" xfId="1957" xr:uid="{A189551F-8A59-4764-9E29-635A94EABBA4}"/>
    <cellStyle name="Normal 39" xfId="1958" xr:uid="{8601AA7F-4601-4108-9382-8A55EC20C0EA}"/>
    <cellStyle name="Normal 4" xfId="3" xr:uid="{5419FC70-21AA-4FEF-807F-FFBF3A6EF85F}"/>
    <cellStyle name="Normal 4 2" xfId="7" xr:uid="{DC357E4B-AA82-444B-8A42-214B99C427D7}"/>
    <cellStyle name="Normal 4 2 2" xfId="191" xr:uid="{B7770114-CC59-41CB-8053-5AA864A3E57D}"/>
    <cellStyle name="Normal 4 2 3" xfId="224" xr:uid="{C33829C9-32EB-4197-91B6-E7606E8EC598}"/>
    <cellStyle name="Normal 4 2 4" xfId="239" xr:uid="{4BF917E4-7D45-45F4-88E8-2B59B77A810D}"/>
    <cellStyle name="Normal 4 2 5" xfId="461" xr:uid="{20A07AE5-E83B-4139-A9B9-C407D863AA32}"/>
    <cellStyle name="Normal 4 2 6" xfId="185" xr:uid="{D04D871A-67B3-4C92-A850-1E0329130D15}"/>
    <cellStyle name="Normal 4 3" xfId="201" xr:uid="{DE5AF0E7-C8E2-47CA-BEB2-53FB0B4F618F}"/>
    <cellStyle name="Normal 4 3 2" xfId="208" xr:uid="{FE8FAA15-06D6-480F-9658-7D95FF8C55AF}"/>
    <cellStyle name="Normal 4 3 3" xfId="244" xr:uid="{4F4E534E-3845-43BB-883F-EB0F86547C13}"/>
    <cellStyle name="Normal 4 3 3 2" xfId="495" xr:uid="{32697D03-59F8-4871-99DB-6FBE7E1C26D6}"/>
    <cellStyle name="Normal 4 3 4" xfId="283" xr:uid="{F8407394-C996-4099-A9E9-F0DC705CA70E}"/>
    <cellStyle name="Normal 4 3 4 2" xfId="521" xr:uid="{1D0C871B-9273-4D98-B688-6300DE743503}"/>
    <cellStyle name="Normal 4 3 5" xfId="468" xr:uid="{8BD1D6A9-7F00-4768-A3BB-78B3341B96D1}"/>
    <cellStyle name="Normal 4 4" xfId="220" xr:uid="{3612313A-AE5D-42E1-98E6-C00961538F34}"/>
    <cellStyle name="Normal 4 4 2" xfId="318" xr:uid="{EC014A25-9E39-4A7A-BC17-60400E2A864A}"/>
    <cellStyle name="Normal 4 4 2 2" xfId="554" xr:uid="{9C9F1DA1-AE7B-4FC2-9F80-6221E6954010}"/>
    <cellStyle name="Normal 4 4 3" xfId="479" xr:uid="{2CAFD1BC-01B7-487A-B6E8-8741C38C5646}"/>
    <cellStyle name="Normal 4 5" xfId="234" xr:uid="{2F26275A-3B61-45CF-A30F-142338ED8CEF}"/>
    <cellStyle name="Normal 4 5 2" xfId="488" xr:uid="{BB2FB9C8-5667-4988-BED5-D3EEB5855B33}"/>
    <cellStyle name="Normal 4 6" xfId="257" xr:uid="{024FD767-F80A-4B5A-B977-434DE2FDCA7B}"/>
    <cellStyle name="Normal 4 6 2" xfId="503" xr:uid="{5C8BBA12-ADC8-48E5-9165-B96303F915A9}"/>
    <cellStyle name="Normal 4 7" xfId="177" xr:uid="{A31F0255-7139-4713-BFC7-38BF387D9A13}"/>
    <cellStyle name="Normal 4 8" xfId="16" xr:uid="{16EA57AB-B794-4E0C-A7DD-614422062EC6}"/>
    <cellStyle name="Normal 4 8 2" xfId="1953" xr:uid="{DBB684ED-48E3-4D05-AAF6-B841214A6F60}"/>
    <cellStyle name="Normal 4 9" xfId="1989" xr:uid="{0ACD2507-7E85-4648-87A4-96A5316EE302}"/>
    <cellStyle name="Normal 40" xfId="1960" xr:uid="{B2E7B5E3-A2FA-4410-9079-DD9883355F88}"/>
    <cellStyle name="Normal 41" xfId="1962" xr:uid="{E7ABEE04-B80E-40F9-A686-DF085DE80CCB}"/>
    <cellStyle name="Normal 42" xfId="1963" xr:uid="{B0E42243-2103-4603-AF91-E64AFB5B06AC}"/>
    <cellStyle name="Normal 43" xfId="1964" xr:uid="{ABDFF49A-2019-4E71-9801-699C1C9F0E55}"/>
    <cellStyle name="Normal 44" xfId="1965" xr:uid="{6EE5B212-F84D-4C4A-B46B-661CC75ECD85}"/>
    <cellStyle name="Normal 45" xfId="1959" xr:uid="{1BA32F3D-ACBE-4685-86BE-1B7D1F943528}"/>
    <cellStyle name="Normal 46" xfId="1961" xr:uid="{9EFD2ED2-2888-4F66-8922-185CBCA5477E}"/>
    <cellStyle name="Normal 47" xfId="1966" xr:uid="{E06F942A-C33F-4115-BDBE-3717B2AC032A}"/>
    <cellStyle name="Normal 48" xfId="1967" xr:uid="{09D09B03-ECD5-4D76-A12A-3AB1767F5040}"/>
    <cellStyle name="Normal 49" xfId="1969" xr:uid="{A70AF178-2B29-45A8-8170-301EC462C67D}"/>
    <cellStyle name="Normal 5" xfId="4" xr:uid="{A6750406-4943-4BA4-9090-A67C6AC7F524}"/>
    <cellStyle name="Normal 5 2" xfId="8" xr:uid="{A9919F8F-9E17-4E5B-9D1C-8FEF8BD32AB2}"/>
    <cellStyle name="Normal 5 2 2" xfId="160" xr:uid="{E6283583-5262-4E3E-98EE-CD6A97F707B3}"/>
    <cellStyle name="Normal 5 2 2 2" xfId="166" xr:uid="{ECD635AB-F494-4450-87BA-963DE985ACD9}"/>
    <cellStyle name="Normal 5 2 2 3" xfId="206" xr:uid="{3115B8AC-548C-4073-882A-61717586A7E7}"/>
    <cellStyle name="Normal 5 2 3" xfId="162" xr:uid="{5C21D8BC-6F11-4881-BC3B-2D38941C6A12}"/>
    <cellStyle name="Normal 5 2 3 2" xfId="325" xr:uid="{0C570CD0-3633-4711-B5C0-523992CC0F89}"/>
    <cellStyle name="Normal 5 2 3 2 2" xfId="559" xr:uid="{F7C3C611-5D51-493C-A738-B5CFC4436BFF}"/>
    <cellStyle name="Normal 5 2 3 3" xfId="229" xr:uid="{9FC193CC-FE87-46F0-963E-FE9970FE83D9}"/>
    <cellStyle name="Normal 5 2 4" xfId="248" xr:uid="{302CF9CA-AD52-4915-8294-144022A9B7BE}"/>
    <cellStyle name="Normal 5 2 5" xfId="195" xr:uid="{6572B6D6-9BFF-4607-A27E-812FDFD06F4F}"/>
    <cellStyle name="Normal 5 2 5 2" xfId="465" xr:uid="{D773E101-B08E-47A7-85BE-9911CFD4CEBB}"/>
    <cellStyle name="Normal 5 2 6" xfId="112" xr:uid="{90EB9C8B-BEA1-4E13-A86D-4C5382D40268}"/>
    <cellStyle name="Normal 5 3" xfId="13" xr:uid="{2E0908CE-7CB6-44E0-8A3E-834D5364BFEB}"/>
    <cellStyle name="Normal 5 3 2" xfId="164" xr:uid="{DC764E35-DE86-493F-B60F-E48D5B08DBE0}"/>
    <cellStyle name="Normal 5 3 2 2" xfId="346" xr:uid="{71180100-0490-4503-AA19-8DD5148A5068}"/>
    <cellStyle name="Normal 5 3 2 2 2" xfId="577" xr:uid="{E721AF5E-BF9C-4B0D-832D-C0F9BA4475AA}"/>
    <cellStyle name="Normal 5 3 3" xfId="226" xr:uid="{0D6C814C-1CD7-4C1C-8178-427BDF6FFCDB}"/>
    <cellStyle name="Normal 5 3 3 2" xfId="482" xr:uid="{BBA17144-1E45-4E59-AE0A-D700F12FBAE3}"/>
    <cellStyle name="Normal 5 3 4" xfId="114" xr:uid="{65401FC5-F7B1-433B-A321-5C1B38787DE7}"/>
    <cellStyle name="Normal 5 4" xfId="67" xr:uid="{00C3D97D-2A80-46D1-9E54-87ABF3C835E3}"/>
    <cellStyle name="Normal 5 4 2" xfId="241" xr:uid="{D4A9FBF5-8B9F-40B1-9364-126683D9893E}"/>
    <cellStyle name="Normal 5 4 2 2" xfId="492" xr:uid="{78191AE8-DE1B-4070-A19F-7950F38C7F4D}"/>
    <cellStyle name="Normal 5 5" xfId="260" xr:uid="{18F3B952-8AD6-4CAA-B320-08C41C2EDCDB}"/>
    <cellStyle name="Normal 5 5 2" xfId="506" xr:uid="{66B2C44D-CDFD-4FC2-83CE-F11276488C12}"/>
    <cellStyle name="Normal 5 6" xfId="17" xr:uid="{F5701933-F48E-4768-8BC7-F550EAFF1356}"/>
    <cellStyle name="Normal 5 6 2" xfId="1954" xr:uid="{8E57D56D-E5CC-48BB-B804-ED9191427E33}"/>
    <cellStyle name="Normal 50" xfId="1968" xr:uid="{314C1BDB-E67F-4915-8A76-DBC92A175333}"/>
    <cellStyle name="Normal 51" xfId="1970" xr:uid="{98CF45B4-3196-48A3-A07C-D7ABDF402840}"/>
    <cellStyle name="Normal 52" xfId="1971" xr:uid="{5BE662D0-F454-4C69-854A-68B298F10E1E}"/>
    <cellStyle name="Normal 53" xfId="1972" xr:uid="{AA79BDF2-1CE3-46AA-974D-3500850A7DC0}"/>
    <cellStyle name="Normal 54" xfId="1973" xr:uid="{CEF99A53-573B-4C38-A9F7-827854F7C586}"/>
    <cellStyle name="Normal 55" xfId="1976" xr:uid="{85B132EB-6944-48B0-8CFA-E3841F1C3E94}"/>
    <cellStyle name="Normal 56" xfId="1977" xr:uid="{3FFE852B-3901-49D9-9B57-434E79CAD5CD}"/>
    <cellStyle name="Normal 57" xfId="1978" xr:uid="{3CAA1A88-54EE-4AF1-97AE-227FAFEBE57E}"/>
    <cellStyle name="Normal 58" xfId="1974" xr:uid="{36AEDBB8-3E69-477F-9C71-CC479B405F43}"/>
    <cellStyle name="Normal 59" xfId="1975" xr:uid="{E7BBEC76-01DE-43F2-9C96-9AF565AEF99A}"/>
    <cellStyle name="Normal 6" xfId="19" xr:uid="{B6639EC4-81D5-4DBA-B2A3-CAFC7B69C18E}"/>
    <cellStyle name="Normal 6 2" xfId="211" xr:uid="{2DDC75D9-0F5C-427A-808A-DEEEB79BC8AC}"/>
    <cellStyle name="Normal 60" xfId="1979" xr:uid="{0EC11B73-D04C-428F-927C-557AAA49EF83}"/>
    <cellStyle name="Normal 61" xfId="1980" xr:uid="{43492B53-3526-49A2-AD8D-EDC7F8EFC342}"/>
    <cellStyle name="Normal 62" xfId="1981" xr:uid="{2197CA60-3CCD-41D5-A481-C1D444658E5B}"/>
    <cellStyle name="Normal 63" xfId="1982" xr:uid="{91340701-EA0B-47E9-9AB7-984DB18FE34F}"/>
    <cellStyle name="Normal 64" xfId="1983" xr:uid="{97A86219-7E56-4FE7-A27F-CF5603075969}"/>
    <cellStyle name="Normal 65" xfId="1984" xr:uid="{66705B8A-F1B6-41AF-917E-E1A35CAC598C}"/>
    <cellStyle name="Normal 66" xfId="1985" xr:uid="{38DA247D-1293-4433-83FD-9854367656D3}"/>
    <cellStyle name="Normal 67" xfId="1986" xr:uid="{A8B6A292-ACEE-4DCB-A3D2-80F18695C61D}"/>
    <cellStyle name="Normal 68" xfId="1987" xr:uid="{2FC14CF8-CC16-4D88-AE81-0B9C648BC688}"/>
    <cellStyle name="Normal 69" xfId="1988" xr:uid="{82951AB9-BB3F-47A0-B036-F7C70FC70A70}"/>
    <cellStyle name="Normal 7" xfId="168" xr:uid="{7D19CDA7-9F51-4A3B-9A92-E80110398F3B}"/>
    <cellStyle name="Normal 7 2" xfId="272" xr:uid="{7F7C943C-FD45-433E-9AAB-028B7B28C0B1}"/>
    <cellStyle name="Normal 7 3" xfId="359" xr:uid="{018EC017-1E01-4261-B4EB-48505EC7B9AD}"/>
    <cellStyle name="Normal 7 4" xfId="253" xr:uid="{EA21984A-EE78-4F4A-9F7E-9CAD8226E085}"/>
    <cellStyle name="Normal 7 5" xfId="213" xr:uid="{689BFD93-F66C-4C96-ABCA-61D6FE654726}"/>
    <cellStyle name="Normal 70" xfId="1990" xr:uid="{9D01535E-0940-4D05-9CC8-6B8E95E1B4BE}"/>
    <cellStyle name="Normal 71" xfId="1991" xr:uid="{BD9E74B7-8893-48C7-84CB-08098FC9ADED}"/>
    <cellStyle name="Normal 72" xfId="1992" xr:uid="{5B00152D-C2A9-470B-9720-DF412C7A525B}"/>
    <cellStyle name="Normal 73" xfId="1993" xr:uid="{13FC2F96-4172-4FB4-9CFE-A9E5F1433AFD}"/>
    <cellStyle name="Normal 74" xfId="1994" xr:uid="{9DC0EEB5-B46B-4D25-B52A-892C27456308}"/>
    <cellStyle name="Normal 75" xfId="1995" xr:uid="{CB33C117-4C8B-4E92-A0EA-109CC2243E8A}"/>
    <cellStyle name="Normal 76" xfId="1996" xr:uid="{200CE1DE-73D0-48C4-86CC-6DAA0773C036}"/>
    <cellStyle name="Normal 77" xfId="1997" xr:uid="{0D892437-502F-415A-A381-3BC4A151B886}"/>
    <cellStyle name="Normal 78" xfId="1998" xr:uid="{E54EC53C-1767-4849-B810-887CFEAB1A2A}"/>
    <cellStyle name="Normal 79" xfId="1999" xr:uid="{E51C1CB0-2C4C-46FC-856E-7578184BFF4B}"/>
    <cellStyle name="Normal 8" xfId="170" xr:uid="{FD231D87-550E-4CEE-97AA-98F28DEFD868}"/>
    <cellStyle name="Normal 8 2" xfId="270" xr:uid="{9D900650-403C-4587-B28E-6051A45D69EA}"/>
    <cellStyle name="Normal 80" xfId="2000" xr:uid="{8F50EF45-D564-4F35-8749-B1C463FEDE3B}"/>
    <cellStyle name="Normal 81" xfId="2001" xr:uid="{612EE795-5F6D-4AAC-B137-D6AEF579C2C3}"/>
    <cellStyle name="Normal 82" xfId="2002" xr:uid="{FC0E7215-C6AE-4370-9899-357650D85346}"/>
    <cellStyle name="Normal 83" xfId="2003" xr:uid="{7A9D0870-D595-4242-A608-50A38EEC5676}"/>
    <cellStyle name="Normal 84" xfId="2004" xr:uid="{E949D2E7-5B08-41DC-AC59-6B6562EBB1AA}"/>
    <cellStyle name="Normal 85" xfId="2005" xr:uid="{35EBF24D-DA4E-45F3-8F67-72AEDF33E8E3}"/>
    <cellStyle name="Normal 86" xfId="2006" xr:uid="{44F90291-753B-4391-9ED2-2288B3827260}"/>
    <cellStyle name="Normal 87" xfId="2007" xr:uid="{C9ED621D-0D0B-4F52-83D7-1D92F81F6D55}"/>
    <cellStyle name="Normal 88" xfId="2008" xr:uid="{EAC67140-1098-4091-8A7A-1F706B27A816}"/>
    <cellStyle name="Normal 89" xfId="2009" xr:uid="{DC635A52-F1AD-4D44-9E5F-51CC9B4EE69B}"/>
    <cellStyle name="Normal 9" xfId="171" xr:uid="{98E5F384-999A-4FC0-B9AE-365BB9BD4622}"/>
    <cellStyle name="Normal 9 2" xfId="320" xr:uid="{398496A3-F35E-463C-A303-56A730D06153}"/>
    <cellStyle name="Normal 9 3" xfId="275" xr:uid="{68033BA4-C08B-44F1-84AB-D2A6BB049D44}"/>
    <cellStyle name="Normal 9 4" xfId="453" xr:uid="{5EB26A2E-6477-4DF5-8DCB-4C348707B805}"/>
    <cellStyle name="Normal 9 5" xfId="2015" xr:uid="{E3FE6ED0-1B00-451A-AC65-F7F44CBE294C}"/>
    <cellStyle name="Normal 90" xfId="2010" xr:uid="{578D9C55-655A-488A-A131-73CE7992188D}"/>
    <cellStyle name="Normal 91" xfId="2011" xr:uid="{C048F6D5-BF15-42AF-A586-FEE37E81E75C}"/>
    <cellStyle name="Normal 92" xfId="2013" xr:uid="{57312639-BDD1-4665-84EC-FC53F288D976}"/>
    <cellStyle name="Normal 93" xfId="2014" xr:uid="{5AF6AEA8-98D1-4872-B8D7-62410C413C7C}"/>
    <cellStyle name="Normal 94" xfId="2016" xr:uid="{814AC4A9-4FC8-405C-BBA4-37BED094618D}"/>
    <cellStyle name="Normal 95" xfId="2017" xr:uid="{52F4E1F2-E953-4544-AFCD-D4AF6FD2771C}"/>
    <cellStyle name="Normal 96" xfId="2018" xr:uid="{89F7BACB-1B72-44BD-B0D0-36B3EA01DF6A}"/>
    <cellStyle name="Normal 97" xfId="2019" xr:uid="{74315D81-3130-418E-B176-C1704EDE34D5}"/>
    <cellStyle name="Normal 98" xfId="2020" xr:uid="{445551D5-81E1-4286-8E16-4499519419B7}"/>
    <cellStyle name="Normal 99" xfId="2021" xr:uid="{4663EAD5-05A7-4ABC-B192-192B730FE599}"/>
    <cellStyle name="Note 2" xfId="154" xr:uid="{86015DDD-69C6-4390-A509-19B179D62D75}"/>
    <cellStyle name="Note 2 2" xfId="316" xr:uid="{89B08BBC-E282-4A38-B115-B0F25F6B2CCA}"/>
    <cellStyle name="Note 2 2 2" xfId="553" xr:uid="{605AFD96-C6BE-4075-A006-3912C4CE1197}"/>
    <cellStyle name="Note 2 3" xfId="448" xr:uid="{41A7B65C-6A7E-497F-93A7-8500784CD82D}"/>
    <cellStyle name="Note 3" xfId="107" xr:uid="{1E49EC26-8560-4093-A91B-77A8F9D65174}"/>
    <cellStyle name="Note 3 2" xfId="299" xr:uid="{CF86A4C1-AF4C-419E-B7A7-04DF6C69C220}"/>
    <cellStyle name="Note 3 2 2" xfId="537" xr:uid="{CEC60046-85C0-4B22-8879-5F5328B4C795}"/>
    <cellStyle name="Note 3 3" xfId="432" xr:uid="{37DA1E76-9825-410B-921D-C6276FA15B3D}"/>
    <cellStyle name="Note 4" xfId="59" xr:uid="{40E2265F-E75A-48AA-B9EF-9A2F5EED2A06}"/>
    <cellStyle name="Note 4 2" xfId="416" xr:uid="{D64748E0-4C38-435B-8E8D-8A6BC39A2E2F}"/>
    <cellStyle name="Output 2" xfId="155" xr:uid="{04F27A86-864D-4AC0-BB4C-F3B85A4A923B}"/>
    <cellStyle name="Output 3" xfId="108" xr:uid="{8A1F48AD-D325-4F8F-A9D2-DBDE9D87F920}"/>
    <cellStyle name="Output 4" xfId="60" xr:uid="{FD9D1E85-66A0-4468-A0AB-032A5B519244}"/>
    <cellStyle name="Percent 2" xfId="193" xr:uid="{C4665336-D388-4F95-B47F-DE3E47A59691}"/>
    <cellStyle name="Percent 3" xfId="398" xr:uid="{DAC51591-386A-4DB5-AB8D-67FF57A3E376}"/>
    <cellStyle name="Percent 4" xfId="249" xr:uid="{2747A9FE-E220-49B8-A49E-56EB8B07846C}"/>
    <cellStyle name="Style 1" xfId="61" xr:uid="{39E0E149-60CC-40EC-B866-9EA64D221CBA}"/>
    <cellStyle name="Title 2" xfId="156" xr:uid="{FA6BED6D-B8FD-4614-8926-13D489C457BD}"/>
    <cellStyle name="Title 3" xfId="109" xr:uid="{890978DD-F889-476A-B333-B5C06F29121C}"/>
    <cellStyle name="Title 4" xfId="62" xr:uid="{9F42147B-C195-4D73-AD2D-AE71ED71C3D1}"/>
    <cellStyle name="Total 2" xfId="157" xr:uid="{A2D1594D-5775-4672-A738-A40C147564E7}"/>
    <cellStyle name="Total 3" xfId="110" xr:uid="{181D0141-8FE4-4AA7-A4C7-207AA5E2502D}"/>
    <cellStyle name="Total 4" xfId="63" xr:uid="{DE932839-A357-4FA1-8F6F-4BF837B69ECE}"/>
    <cellStyle name="Warning Text 2" xfId="158" xr:uid="{A43DD53E-F09E-4046-B1BA-B2C503C8F2C6}"/>
    <cellStyle name="Warning Text 3" xfId="111" xr:uid="{0F3F46E3-AC17-405A-9C18-91385FC15F0E}"/>
    <cellStyle name="Warning Text 4" xfId="64" xr:uid="{14F6C497-515D-4142-A222-D904C5EF1761}"/>
  </cellStyles>
  <dxfs count="55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8.%20AGUSTUS%202022\1.%20GAJI\ABSEN%20AGUSTUS%202022%20PT%20%20KEMILAU%20UNGAR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US\SALARY\2026\7.%20JULI\5.%20GAJI%20KUS%20JUNI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US\SALARY\KOMPENSASI\2026\17.%20TF%20TGL%2026%20JUNI'26\PERHITUNGAN%20KOMPENSASI%20KUS-UNGARAN%20JUNI%20(3)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"/>
      <sheetName val="GAJI 25 JULI - 24 AGST 2022"/>
      <sheetName val="GAJI AGUSTUS AUDIT"/>
      <sheetName val="SLIP"/>
      <sheetName val="REKENING"/>
      <sheetName val="PPH"/>
      <sheetName val="RESUME"/>
      <sheetName val="PAYROLL ALLIN"/>
      <sheetName val="PAYROLL"/>
      <sheetName val="PAYROLL LEMBUR"/>
    </sheetNames>
    <sheetDataSet>
      <sheetData sheetId="0" refreshError="1"/>
      <sheetData sheetId="1" refreshError="1">
        <row r="9">
          <cell r="C9" t="str">
            <v>HANDIKA DENI SINTARA</v>
          </cell>
          <cell r="D9" t="str">
            <v>MANDOR SHIFT</v>
          </cell>
        </row>
        <row r="10">
          <cell r="C10" t="str">
            <v>ERAWAN PRAYUDA</v>
          </cell>
          <cell r="D10" t="str">
            <v>MANDOR SHIFT</v>
          </cell>
        </row>
        <row r="11">
          <cell r="C11" t="str">
            <v>AZIZ SISWANTO</v>
          </cell>
          <cell r="D11" t="str">
            <v>MANDOR SHIFT</v>
          </cell>
        </row>
        <row r="12">
          <cell r="C12" t="str">
            <v>FATKUR ROHMAN</v>
          </cell>
          <cell r="D12" t="str">
            <v>MANDOR SHIFT</v>
          </cell>
        </row>
        <row r="13">
          <cell r="C13" t="str">
            <v>FANDI FABRIAN</v>
          </cell>
          <cell r="D13" t="str">
            <v>MANDOR SHIFT</v>
          </cell>
        </row>
        <row r="14">
          <cell r="C14" t="str">
            <v>ANDI SETIAWAN</v>
          </cell>
          <cell r="D14" t="str">
            <v>MANDOR SHIFT</v>
          </cell>
        </row>
        <row r="15">
          <cell r="C15" t="str">
            <v>GHOFAR ARIEF RIATMOKO</v>
          </cell>
          <cell r="D15" t="str">
            <v>MANDOR SCREEN</v>
          </cell>
        </row>
        <row r="16">
          <cell r="C16" t="str">
            <v>MUHAMAD ARWANI</v>
          </cell>
          <cell r="D16" t="str">
            <v>TINTA</v>
          </cell>
        </row>
        <row r="17">
          <cell r="C17" t="str">
            <v>DWI SETYAWATI</v>
          </cell>
          <cell r="D17" t="str">
            <v>QC PRINT</v>
          </cell>
        </row>
        <row r="18">
          <cell r="C18" t="str">
            <v>DEWI NUR FAIYAH</v>
          </cell>
          <cell r="D18" t="str">
            <v>QC PRINT</v>
          </cell>
        </row>
        <row r="19">
          <cell r="C19" t="str">
            <v>DIAN ANDRIANI</v>
          </cell>
          <cell r="D19" t="str">
            <v>QC PRINT</v>
          </cell>
        </row>
        <row r="20">
          <cell r="C20" t="str">
            <v>SANI NUR FAJRIYAH</v>
          </cell>
          <cell r="D20" t="str">
            <v>IN-OUT</v>
          </cell>
        </row>
        <row r="21">
          <cell r="C21" t="str">
            <v>RIZKY PRADEVI UTAMI</v>
          </cell>
          <cell r="D21" t="str">
            <v>ADM</v>
          </cell>
        </row>
        <row r="22">
          <cell r="C22" t="str">
            <v>ENDANG PURNAMA SARI</v>
          </cell>
          <cell r="D22" t="str">
            <v>GUDANG</v>
          </cell>
        </row>
        <row r="23">
          <cell r="C23" t="str">
            <v>SRI SUTARNI</v>
          </cell>
          <cell r="D23" t="str">
            <v>QC BORDIR</v>
          </cell>
        </row>
        <row r="24">
          <cell r="C24" t="str">
            <v>JAJANG IRPAN</v>
          </cell>
          <cell r="D24" t="str">
            <v>OPERATOR BORDIR</v>
          </cell>
        </row>
        <row r="25">
          <cell r="C25" t="str">
            <v>ANDI NURHANDI</v>
          </cell>
          <cell r="D25" t="str">
            <v>SAMPLE</v>
          </cell>
        </row>
        <row r="26">
          <cell r="C26" t="str">
            <v>DWI WIDIYANTI</v>
          </cell>
          <cell r="D26" t="str">
            <v>SAMPLE</v>
          </cell>
        </row>
        <row r="27">
          <cell r="C27" t="str">
            <v>IBNU HAKIM</v>
          </cell>
          <cell r="D27" t="str">
            <v>SAMPLE</v>
          </cell>
        </row>
        <row r="28">
          <cell r="C28" t="str">
            <v>AGUS SETIAWAN</v>
          </cell>
          <cell r="D28" t="str">
            <v>SAMPLE</v>
          </cell>
        </row>
        <row r="29">
          <cell r="C29" t="str">
            <v>NINA</v>
          </cell>
          <cell r="D29" t="str">
            <v>SAMPLE</v>
          </cell>
        </row>
        <row r="30">
          <cell r="C30" t="str">
            <v>RISKA ANGGRAENI</v>
          </cell>
          <cell r="D30" t="str">
            <v>QC SAMPLE</v>
          </cell>
        </row>
        <row r="31">
          <cell r="C31" t="str">
            <v>AGUNG PANUNTUN PRASTYO</v>
          </cell>
          <cell r="D31" t="str">
            <v>SAMPLE</v>
          </cell>
        </row>
        <row r="32">
          <cell r="C32" t="str">
            <v>EDI SUPARMAN</v>
          </cell>
          <cell r="D32" t="str">
            <v>OPERATOR CETAK</v>
          </cell>
        </row>
        <row r="33">
          <cell r="C33" t="str">
            <v>MARHALI</v>
          </cell>
          <cell r="D33" t="str">
            <v>SECURITY</v>
          </cell>
        </row>
        <row r="34">
          <cell r="C34" t="str">
            <v>NUR ALI</v>
          </cell>
          <cell r="D34" t="str">
            <v>PRESS</v>
          </cell>
        </row>
        <row r="35">
          <cell r="C35" t="str">
            <v>JAIS</v>
          </cell>
          <cell r="D35" t="str">
            <v>DRIVER</v>
          </cell>
        </row>
        <row r="36">
          <cell r="C36" t="str">
            <v>MIFTAHUDIN</v>
          </cell>
          <cell r="D36" t="str">
            <v>DRIVER</v>
          </cell>
        </row>
        <row r="37">
          <cell r="C37" t="str">
            <v>SUYONO</v>
          </cell>
          <cell r="D37" t="str">
            <v>DRIVER</v>
          </cell>
        </row>
        <row r="38">
          <cell r="C38" t="str">
            <v>NUR SETIA ALIF</v>
          </cell>
          <cell r="D38" t="str">
            <v>LAB</v>
          </cell>
        </row>
        <row r="39">
          <cell r="C39" t="str">
            <v>YOHANES PRAYITNO</v>
          </cell>
          <cell r="D39" t="str">
            <v>UMUM</v>
          </cell>
        </row>
        <row r="40">
          <cell r="C40" t="str">
            <v>BAYU SETIYAWAN</v>
          </cell>
          <cell r="D40" t="str">
            <v>MANDOR SCREEN</v>
          </cell>
        </row>
        <row r="41">
          <cell r="C41" t="str">
            <v>NOVI ISTIANI</v>
          </cell>
          <cell r="D41" t="str">
            <v>ADM HRD BYL</v>
          </cell>
        </row>
        <row r="42">
          <cell r="C42" t="str">
            <v>DIAN SULISTYO</v>
          </cell>
          <cell r="D42" t="str">
            <v>DESIGN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25 MEI - 24 JUNI 2026"/>
      <sheetName val="UM DAN LEMBUR ALL IN JUNI'26"/>
      <sheetName val="KOMPENSASI JUN (3) UNGARAN 2026"/>
      <sheetName val="RESUME"/>
      <sheetName val="REKAPAN GAJI KUS JUNI 2026"/>
    </sheetNames>
    <sheetDataSet>
      <sheetData sheetId="0">
        <row r="42">
          <cell r="N42">
            <v>119000</v>
          </cell>
          <cell r="R42">
            <v>82286127.799999997</v>
          </cell>
          <cell r="S42">
            <v>953324</v>
          </cell>
          <cell r="T42">
            <v>0</v>
          </cell>
          <cell r="U42">
            <v>2050000</v>
          </cell>
          <cell r="V42">
            <v>45176783.982000001</v>
          </cell>
          <cell r="W42">
            <v>1102.7379999887198</v>
          </cell>
          <cell r="X42">
            <v>130585235.78200001</v>
          </cell>
          <cell r="Y42">
            <v>-1569225.76</v>
          </cell>
          <cell r="Z42">
            <v>-784612.88</v>
          </cell>
          <cell r="AA42">
            <v>-784612.88</v>
          </cell>
          <cell r="AB42">
            <v>-1002500</v>
          </cell>
          <cell r="AC42">
            <v>0</v>
          </cell>
          <cell r="AD42">
            <v>126445387</v>
          </cell>
        </row>
        <row r="238">
          <cell r="N238">
            <v>272000</v>
          </cell>
          <cell r="R238">
            <v>545327522.24000001</v>
          </cell>
          <cell r="S238">
            <v>183886100</v>
          </cell>
          <cell r="T238">
            <v>0</v>
          </cell>
          <cell r="U238">
            <v>0</v>
          </cell>
          <cell r="V238">
            <v>2502000</v>
          </cell>
          <cell r="W238">
            <v>12118.399999919115</v>
          </cell>
          <cell r="X238">
            <v>731987622.24000001</v>
          </cell>
          <cell r="Y238">
            <v>-10765822.079999968</v>
          </cell>
          <cell r="Z238">
            <v>-5265307.5199999847</v>
          </cell>
          <cell r="AA238">
            <v>-5382911.0399999842</v>
          </cell>
          <cell r="AB238">
            <v>0</v>
          </cell>
          <cell r="AC238">
            <v>0</v>
          </cell>
          <cell r="AD238">
            <v>710585700</v>
          </cell>
        </row>
        <row r="245">
          <cell r="AD245">
            <v>837031087</v>
          </cell>
        </row>
      </sheetData>
      <sheetData sheetId="1">
        <row r="42">
          <cell r="J42">
            <v>1734000</v>
          </cell>
          <cell r="K42">
            <v>2362142.8571428573</v>
          </cell>
          <cell r="L42">
            <v>1990714.2857142857</v>
          </cell>
          <cell r="M42">
            <v>1117500</v>
          </cell>
          <cell r="N42">
            <v>42.857142857159488</v>
          </cell>
          <cell r="O42">
            <v>0</v>
          </cell>
          <cell r="P42">
            <v>7204400</v>
          </cell>
        </row>
      </sheetData>
      <sheetData sheetId="2">
        <row r="244">
          <cell r="Q244">
            <v>7110900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MPENSASI JUN (3) UNGARAN 2026"/>
      <sheetName val="RESUME KOMPENSASI UNGARAN 2026"/>
      <sheetName val="SLIP"/>
    </sheetNames>
    <sheetDataSet>
      <sheetData sheetId="0"/>
      <sheetData sheetId="1">
        <row r="8">
          <cell r="B8" t="str">
            <v>SCREEN</v>
          </cell>
          <cell r="C8">
            <v>5</v>
          </cell>
          <cell r="D8">
            <v>0</v>
          </cell>
          <cell r="E8" t="e">
            <v>#REF!</v>
          </cell>
          <cell r="F8">
            <v>5</v>
          </cell>
          <cell r="G8">
            <v>0</v>
          </cell>
          <cell r="H8">
            <v>0</v>
          </cell>
        </row>
        <row r="9">
          <cell r="B9" t="str">
            <v>GUDANG PRINT</v>
          </cell>
          <cell r="C9">
            <v>0</v>
          </cell>
          <cell r="D9">
            <v>0</v>
          </cell>
          <cell r="E9" t="e">
            <v>#REF!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SAMPLE</v>
          </cell>
          <cell r="C10">
            <v>2</v>
          </cell>
          <cell r="D10">
            <v>7</v>
          </cell>
          <cell r="E10" t="e">
            <v>#REF!</v>
          </cell>
          <cell r="F10">
            <v>2</v>
          </cell>
          <cell r="G10">
            <v>8</v>
          </cell>
          <cell r="H10">
            <v>0</v>
          </cell>
        </row>
        <row r="11">
          <cell r="B11" t="str">
            <v>KURIR</v>
          </cell>
          <cell r="C11">
            <v>0</v>
          </cell>
          <cell r="D11">
            <v>0</v>
          </cell>
          <cell r="E11" t="e">
            <v>#REF!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UMUM</v>
          </cell>
          <cell r="C12">
            <v>1</v>
          </cell>
          <cell r="D12">
            <v>1</v>
          </cell>
          <cell r="E12" t="e">
            <v>#REF!</v>
          </cell>
          <cell r="F12">
            <v>1</v>
          </cell>
          <cell r="G12">
            <v>1</v>
          </cell>
          <cell r="H12">
            <v>0</v>
          </cell>
        </row>
        <row r="13">
          <cell r="B13" t="str">
            <v>SECURITY</v>
          </cell>
          <cell r="C13">
            <v>0</v>
          </cell>
          <cell r="D13">
            <v>0</v>
          </cell>
          <cell r="E13" t="e">
            <v>#REF!</v>
          </cell>
          <cell r="F13">
            <v>4</v>
          </cell>
          <cell r="G13">
            <v>0</v>
          </cell>
          <cell r="H13">
            <v>0</v>
          </cell>
        </row>
        <row r="14">
          <cell r="B14" t="str">
            <v>DESIGN</v>
          </cell>
          <cell r="C14">
            <v>2</v>
          </cell>
          <cell r="D14">
            <v>0</v>
          </cell>
          <cell r="E14" t="e">
            <v>#REF!</v>
          </cell>
          <cell r="F14">
            <v>4</v>
          </cell>
          <cell r="G14">
            <v>0</v>
          </cell>
          <cell r="H14">
            <v>2944100</v>
          </cell>
        </row>
        <row r="15">
          <cell r="B15" t="str">
            <v>TINTA</v>
          </cell>
          <cell r="C15">
            <v>3</v>
          </cell>
          <cell r="D15">
            <v>0</v>
          </cell>
          <cell r="E15" t="e">
            <v>#REF!</v>
          </cell>
          <cell r="F15">
            <v>3</v>
          </cell>
          <cell r="G15">
            <v>0</v>
          </cell>
          <cell r="H15">
            <v>0</v>
          </cell>
        </row>
        <row r="16">
          <cell r="B16" t="str">
            <v>LAB</v>
          </cell>
          <cell r="C16">
            <v>1</v>
          </cell>
          <cell r="D16">
            <v>0</v>
          </cell>
          <cell r="E16" t="e">
            <v>#REF!</v>
          </cell>
          <cell r="F16">
            <v>1</v>
          </cell>
          <cell r="G16">
            <v>0</v>
          </cell>
          <cell r="H16">
            <v>0</v>
          </cell>
        </row>
        <row r="17">
          <cell r="B17" t="str">
            <v>PRESS</v>
          </cell>
          <cell r="C17">
            <v>0</v>
          </cell>
          <cell r="D17">
            <v>0</v>
          </cell>
          <cell r="E17" t="e">
            <v>#REF!</v>
          </cell>
          <cell r="F17">
            <v>2</v>
          </cell>
          <cell r="G17">
            <v>0</v>
          </cell>
          <cell r="H17">
            <v>0</v>
          </cell>
        </row>
        <row r="18">
          <cell r="B18" t="str">
            <v>PACKING</v>
          </cell>
          <cell r="C18">
            <v>0</v>
          </cell>
          <cell r="D18">
            <v>0</v>
          </cell>
          <cell r="E18" t="e">
            <v>#REF!</v>
          </cell>
          <cell r="F18">
            <v>0</v>
          </cell>
          <cell r="G18">
            <v>9</v>
          </cell>
          <cell r="H18">
            <v>245100</v>
          </cell>
        </row>
        <row r="19">
          <cell r="B19" t="str">
            <v>IN-OUT</v>
          </cell>
          <cell r="C19">
            <v>0</v>
          </cell>
          <cell r="D19">
            <v>0</v>
          </cell>
          <cell r="E19" t="e">
            <v>#REF!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ADM HRD</v>
          </cell>
          <cell r="C20">
            <v>0</v>
          </cell>
          <cell r="D20">
            <v>0</v>
          </cell>
          <cell r="E20" t="e">
            <v>#REF!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QC LINE</v>
          </cell>
          <cell r="C21">
            <v>0</v>
          </cell>
          <cell r="D21">
            <v>6</v>
          </cell>
          <cell r="E21" t="e">
            <v>#REF!</v>
          </cell>
          <cell r="F21">
            <v>0</v>
          </cell>
          <cell r="G21">
            <v>7</v>
          </cell>
          <cell r="H21">
            <v>0</v>
          </cell>
        </row>
        <row r="22">
          <cell r="B22" t="str">
            <v>FINISHING</v>
          </cell>
          <cell r="C22">
            <v>0</v>
          </cell>
          <cell r="D22">
            <v>0</v>
          </cell>
          <cell r="E22" t="e">
            <v>#REF!</v>
          </cell>
          <cell r="F22">
            <v>0</v>
          </cell>
          <cell r="G22">
            <v>14</v>
          </cell>
          <cell r="H22">
            <v>490200</v>
          </cell>
        </row>
        <row r="23">
          <cell r="B23" t="str">
            <v>OPERATOR TEMPEL</v>
          </cell>
          <cell r="C23">
            <v>0</v>
          </cell>
          <cell r="D23">
            <v>23</v>
          </cell>
          <cell r="E23" t="e">
            <v>#REF!</v>
          </cell>
          <cell r="F23">
            <v>0</v>
          </cell>
          <cell r="G23">
            <v>24</v>
          </cell>
          <cell r="H23">
            <v>490200</v>
          </cell>
        </row>
        <row r="24">
          <cell r="B24" t="str">
            <v>OPERATOR CETAK</v>
          </cell>
          <cell r="C24">
            <v>31</v>
          </cell>
          <cell r="D24">
            <v>0</v>
          </cell>
          <cell r="E24" t="e">
            <v>#REF!</v>
          </cell>
          <cell r="F24">
            <v>41</v>
          </cell>
          <cell r="G24">
            <v>0</v>
          </cell>
          <cell r="H24">
            <v>490300</v>
          </cell>
        </row>
        <row r="25">
          <cell r="B25" t="str">
            <v>SUBLIM</v>
          </cell>
          <cell r="C25">
            <v>2</v>
          </cell>
          <cell r="D25">
            <v>1</v>
          </cell>
          <cell r="E25" t="e">
            <v>#REF!</v>
          </cell>
          <cell r="F25">
            <v>8</v>
          </cell>
          <cell r="G25">
            <v>8</v>
          </cell>
          <cell r="H25">
            <v>490200</v>
          </cell>
        </row>
        <row r="26">
          <cell r="B26" t="str">
            <v>AUTOPRINT</v>
          </cell>
          <cell r="C26">
            <v>0</v>
          </cell>
          <cell r="D26">
            <v>0</v>
          </cell>
          <cell r="E26" t="e">
            <v>#REF!</v>
          </cell>
          <cell r="F26">
            <v>39</v>
          </cell>
          <cell r="G26">
            <v>30</v>
          </cell>
          <cell r="H26">
            <v>1960800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7DA3-E0C7-4525-B7DA-A511721EACDF}">
  <dimension ref="A1:F459"/>
  <sheetViews>
    <sheetView topLeftCell="A426" workbookViewId="0">
      <selection activeCell="A444" sqref="A444:XFD458"/>
    </sheetView>
  </sheetViews>
  <sheetFormatPr defaultRowHeight="15" x14ac:dyDescent="0.25"/>
  <cols>
    <col min="1" max="1" width="38.140625" style="16" bestFit="1" customWidth="1"/>
    <col min="2" max="2" width="26.140625" style="17" customWidth="1"/>
    <col min="3" max="3" width="17.28515625" style="18" bestFit="1" customWidth="1"/>
    <col min="4" max="4" width="17.42578125" style="18" customWidth="1"/>
    <col min="5" max="16384" width="9.140625" style="18"/>
  </cols>
  <sheetData>
    <row r="1" spans="1:4" x14ac:dyDescent="0.25">
      <c r="A1" s="16" t="s">
        <v>58</v>
      </c>
      <c r="B1" s="17" t="s">
        <v>59</v>
      </c>
      <c r="C1" s="18" t="s">
        <v>61</v>
      </c>
      <c r="D1" s="18" t="s">
        <v>60</v>
      </c>
    </row>
    <row r="2" spans="1:4" x14ac:dyDescent="0.25">
      <c r="A2" s="16" t="s">
        <v>16</v>
      </c>
      <c r="B2" s="17">
        <v>4441008575</v>
      </c>
      <c r="C2" s="18" t="s">
        <v>51</v>
      </c>
      <c r="D2" s="18" t="s">
        <v>52</v>
      </c>
    </row>
    <row r="3" spans="1:4" x14ac:dyDescent="0.25">
      <c r="A3" s="16" t="s">
        <v>62</v>
      </c>
      <c r="B3" s="17">
        <v>4441015369</v>
      </c>
      <c r="C3" s="18" t="s">
        <v>51</v>
      </c>
      <c r="D3" s="18" t="s">
        <v>52</v>
      </c>
    </row>
    <row r="4" spans="1:4" x14ac:dyDescent="0.25">
      <c r="A4" s="16" t="s">
        <v>17</v>
      </c>
      <c r="B4" s="17">
        <v>4441008699</v>
      </c>
      <c r="C4" s="18" t="s">
        <v>51</v>
      </c>
      <c r="D4" s="18" t="s">
        <v>52</v>
      </c>
    </row>
    <row r="5" spans="1:4" x14ac:dyDescent="0.25">
      <c r="A5" s="16" t="s">
        <v>11</v>
      </c>
      <c r="B5" s="17">
        <v>4441009237</v>
      </c>
      <c r="C5" s="18" t="s">
        <v>51</v>
      </c>
      <c r="D5" s="18" t="s">
        <v>52</v>
      </c>
    </row>
    <row r="6" spans="1:4" x14ac:dyDescent="0.25">
      <c r="A6" s="16" t="s">
        <v>12</v>
      </c>
      <c r="B6" s="17">
        <v>3141057039</v>
      </c>
      <c r="C6" s="18" t="s">
        <v>51</v>
      </c>
      <c r="D6" s="18" t="s">
        <v>52</v>
      </c>
    </row>
    <row r="7" spans="1:4" x14ac:dyDescent="0.25">
      <c r="A7" s="16" t="s">
        <v>63</v>
      </c>
      <c r="B7" s="17">
        <v>4131013374</v>
      </c>
      <c r="C7" s="18" t="s">
        <v>51</v>
      </c>
      <c r="D7" s="18" t="s">
        <v>52</v>
      </c>
    </row>
    <row r="8" spans="1:4" x14ac:dyDescent="0.25">
      <c r="A8" s="16" t="s">
        <v>5</v>
      </c>
      <c r="B8" s="17">
        <v>4401014084</v>
      </c>
      <c r="C8" s="18" t="s">
        <v>51</v>
      </c>
      <c r="D8" s="18" t="s">
        <v>52</v>
      </c>
    </row>
    <row r="9" spans="1:4" x14ac:dyDescent="0.25">
      <c r="A9" s="16" t="s">
        <v>64</v>
      </c>
      <c r="B9" s="17">
        <v>5203701439</v>
      </c>
      <c r="C9" s="18" t="s">
        <v>51</v>
      </c>
      <c r="D9" s="18" t="s">
        <v>52</v>
      </c>
    </row>
    <row r="10" spans="1:4" x14ac:dyDescent="0.25">
      <c r="A10" s="16" t="s">
        <v>10</v>
      </c>
      <c r="B10" s="17">
        <v>4441009253</v>
      </c>
      <c r="C10" s="18" t="s">
        <v>51</v>
      </c>
      <c r="D10" s="18" t="s">
        <v>52</v>
      </c>
    </row>
    <row r="11" spans="1:4" x14ac:dyDescent="0.25">
      <c r="A11" s="16" t="s">
        <v>13</v>
      </c>
      <c r="B11" s="17">
        <v>4441009415</v>
      </c>
      <c r="C11" s="18" t="s">
        <v>51</v>
      </c>
      <c r="D11" s="18" t="s">
        <v>52</v>
      </c>
    </row>
    <row r="12" spans="1:4" x14ac:dyDescent="0.25">
      <c r="A12" s="16" t="s">
        <v>27</v>
      </c>
      <c r="B12" s="17">
        <v>3141057063</v>
      </c>
      <c r="C12" s="18" t="s">
        <v>51</v>
      </c>
      <c r="D12" s="18" t="s">
        <v>52</v>
      </c>
    </row>
    <row r="13" spans="1:4" x14ac:dyDescent="0.25">
      <c r="A13" s="16" t="s">
        <v>28</v>
      </c>
      <c r="B13" s="17">
        <v>4441008478</v>
      </c>
      <c r="C13" s="18" t="s">
        <v>51</v>
      </c>
      <c r="D13" s="18" t="s">
        <v>52</v>
      </c>
    </row>
    <row r="14" spans="1:4" x14ac:dyDescent="0.25">
      <c r="A14" s="16" t="s">
        <v>19</v>
      </c>
      <c r="B14" s="17">
        <v>4441008613</v>
      </c>
      <c r="C14" s="18" t="s">
        <v>51</v>
      </c>
      <c r="D14" s="18" t="s">
        <v>52</v>
      </c>
    </row>
    <row r="15" spans="1:4" x14ac:dyDescent="0.25">
      <c r="A15" s="16" t="s">
        <v>42</v>
      </c>
      <c r="B15" s="17">
        <v>4441011525</v>
      </c>
      <c r="C15" s="18" t="s">
        <v>51</v>
      </c>
      <c r="D15" s="18" t="s">
        <v>52</v>
      </c>
    </row>
    <row r="16" spans="1:4" x14ac:dyDescent="0.25">
      <c r="A16" s="16" t="s">
        <v>20</v>
      </c>
      <c r="B16" s="17">
        <v>4441008761</v>
      </c>
      <c r="C16" s="18" t="s">
        <v>51</v>
      </c>
      <c r="D16" s="18" t="s">
        <v>52</v>
      </c>
    </row>
    <row r="17" spans="1:4" x14ac:dyDescent="0.25">
      <c r="A17" s="16" t="s">
        <v>65</v>
      </c>
      <c r="B17" s="17">
        <v>4441008494</v>
      </c>
      <c r="C17" s="18" t="s">
        <v>51</v>
      </c>
      <c r="D17" s="18" t="s">
        <v>52</v>
      </c>
    </row>
    <row r="18" spans="1:4" x14ac:dyDescent="0.25">
      <c r="A18" s="16" t="s">
        <v>66</v>
      </c>
      <c r="B18" s="17">
        <v>4441008508</v>
      </c>
      <c r="C18" s="18" t="s">
        <v>51</v>
      </c>
      <c r="D18" s="18" t="s">
        <v>52</v>
      </c>
    </row>
    <row r="19" spans="1:4" x14ac:dyDescent="0.25">
      <c r="A19" s="16" t="s">
        <v>67</v>
      </c>
      <c r="B19" s="17">
        <v>4441008516</v>
      </c>
      <c r="C19" s="18" t="s">
        <v>51</v>
      </c>
      <c r="D19" s="18" t="s">
        <v>52</v>
      </c>
    </row>
    <row r="20" spans="1:4" x14ac:dyDescent="0.25">
      <c r="A20" s="16" t="s">
        <v>44</v>
      </c>
      <c r="B20" s="17">
        <v>4441008532</v>
      </c>
      <c r="C20" s="18" t="s">
        <v>51</v>
      </c>
      <c r="D20" s="18" t="s">
        <v>52</v>
      </c>
    </row>
    <row r="21" spans="1:4" x14ac:dyDescent="0.25">
      <c r="A21" s="16" t="s">
        <v>68</v>
      </c>
      <c r="B21" s="17">
        <v>4443702878</v>
      </c>
      <c r="C21" s="18" t="s">
        <v>51</v>
      </c>
      <c r="D21" s="18" t="s">
        <v>52</v>
      </c>
    </row>
    <row r="22" spans="1:4" x14ac:dyDescent="0.25">
      <c r="A22" s="16" t="s">
        <v>18</v>
      </c>
      <c r="B22" s="17">
        <v>4441008818</v>
      </c>
      <c r="C22" s="18" t="s">
        <v>51</v>
      </c>
      <c r="D22" s="18" t="s">
        <v>52</v>
      </c>
    </row>
    <row r="23" spans="1:4" x14ac:dyDescent="0.25">
      <c r="A23" s="16" t="s">
        <v>22</v>
      </c>
      <c r="B23" s="17">
        <v>4441010464</v>
      </c>
      <c r="C23" s="18" t="s">
        <v>51</v>
      </c>
      <c r="D23" s="18" t="s">
        <v>52</v>
      </c>
    </row>
    <row r="24" spans="1:4" x14ac:dyDescent="0.25">
      <c r="A24" s="16" t="s">
        <v>32</v>
      </c>
      <c r="B24" s="17">
        <v>4441010472</v>
      </c>
      <c r="C24" s="18" t="s">
        <v>51</v>
      </c>
      <c r="D24" s="18" t="s">
        <v>52</v>
      </c>
    </row>
    <row r="25" spans="1:4" x14ac:dyDescent="0.25">
      <c r="A25" s="16" t="s">
        <v>21</v>
      </c>
      <c r="B25" s="17">
        <v>4441011614</v>
      </c>
      <c r="C25" s="18" t="s">
        <v>51</v>
      </c>
      <c r="D25" s="18" t="s">
        <v>52</v>
      </c>
    </row>
    <row r="26" spans="1:4" x14ac:dyDescent="0.25">
      <c r="A26" s="16" t="s">
        <v>43</v>
      </c>
      <c r="B26" s="19">
        <v>4441014869</v>
      </c>
      <c r="C26" s="18" t="s">
        <v>51</v>
      </c>
      <c r="D26" s="18" t="s">
        <v>52</v>
      </c>
    </row>
    <row r="27" spans="1:4" x14ac:dyDescent="0.25">
      <c r="A27" s="16" t="s">
        <v>14</v>
      </c>
      <c r="B27" s="17">
        <v>4441016306</v>
      </c>
      <c r="C27" s="18" t="s">
        <v>51</v>
      </c>
      <c r="D27" s="18" t="s">
        <v>52</v>
      </c>
    </row>
    <row r="28" spans="1:4" x14ac:dyDescent="0.25">
      <c r="A28" s="16" t="s">
        <v>69</v>
      </c>
      <c r="B28" s="17">
        <v>4441011649</v>
      </c>
      <c r="C28" s="18" t="s">
        <v>51</v>
      </c>
      <c r="D28" s="18" t="s">
        <v>52</v>
      </c>
    </row>
    <row r="29" spans="1:4" x14ac:dyDescent="0.25">
      <c r="A29" s="16" t="s">
        <v>31</v>
      </c>
      <c r="B29" s="17">
        <v>4441009903</v>
      </c>
      <c r="C29" s="18" t="s">
        <v>51</v>
      </c>
      <c r="D29" s="18" t="s">
        <v>52</v>
      </c>
    </row>
    <row r="30" spans="1:4" x14ac:dyDescent="0.25">
      <c r="A30" s="16" t="s">
        <v>70</v>
      </c>
      <c r="B30" s="17">
        <v>4443702762</v>
      </c>
      <c r="C30" s="18" t="s">
        <v>51</v>
      </c>
      <c r="D30" s="18" t="s">
        <v>52</v>
      </c>
    </row>
    <row r="31" spans="1:4" x14ac:dyDescent="0.25">
      <c r="A31" s="16" t="s">
        <v>71</v>
      </c>
      <c r="B31" s="17">
        <v>4441011428</v>
      </c>
      <c r="C31" s="18" t="s">
        <v>51</v>
      </c>
      <c r="D31" s="18" t="s">
        <v>52</v>
      </c>
    </row>
    <row r="32" spans="1:4" x14ac:dyDescent="0.25">
      <c r="A32" s="16" t="s">
        <v>72</v>
      </c>
      <c r="B32" s="17">
        <v>4441008729</v>
      </c>
      <c r="C32" s="18" t="s">
        <v>51</v>
      </c>
      <c r="D32" s="18" t="s">
        <v>52</v>
      </c>
    </row>
    <row r="33" spans="1:4" x14ac:dyDescent="0.25">
      <c r="A33" s="16" t="s">
        <v>73</v>
      </c>
      <c r="B33" s="17">
        <v>4441008737</v>
      </c>
      <c r="C33" s="18" t="s">
        <v>51</v>
      </c>
      <c r="D33" s="18" t="s">
        <v>52</v>
      </c>
    </row>
    <row r="34" spans="1:4" x14ac:dyDescent="0.25">
      <c r="A34" s="16" t="s">
        <v>74</v>
      </c>
      <c r="B34" s="17">
        <v>4441008710</v>
      </c>
      <c r="C34" s="18" t="s">
        <v>51</v>
      </c>
      <c r="D34" s="18" t="s">
        <v>52</v>
      </c>
    </row>
    <row r="35" spans="1:4" x14ac:dyDescent="0.25">
      <c r="A35" s="16" t="s">
        <v>75</v>
      </c>
      <c r="B35" s="17">
        <v>4441010006</v>
      </c>
      <c r="C35" s="18" t="s">
        <v>51</v>
      </c>
      <c r="D35" s="18" t="s">
        <v>52</v>
      </c>
    </row>
    <row r="36" spans="1:4" x14ac:dyDescent="0.25">
      <c r="A36" s="16" t="s">
        <v>76</v>
      </c>
      <c r="B36" s="17">
        <v>4443700425</v>
      </c>
      <c r="C36" s="18" t="s">
        <v>51</v>
      </c>
      <c r="D36" s="18" t="s">
        <v>52</v>
      </c>
    </row>
    <row r="37" spans="1:4" x14ac:dyDescent="0.25">
      <c r="A37" s="16" t="s">
        <v>77</v>
      </c>
      <c r="B37" s="17">
        <v>4443701855</v>
      </c>
      <c r="C37" s="18" t="s">
        <v>51</v>
      </c>
      <c r="D37" s="18" t="s">
        <v>52</v>
      </c>
    </row>
    <row r="38" spans="1:4" x14ac:dyDescent="0.25">
      <c r="A38" s="16" t="s">
        <v>78</v>
      </c>
      <c r="B38" s="17">
        <v>5203701501</v>
      </c>
      <c r="C38" s="18" t="s">
        <v>51</v>
      </c>
      <c r="D38" s="18" t="s">
        <v>52</v>
      </c>
    </row>
    <row r="39" spans="1:4" x14ac:dyDescent="0.25">
      <c r="A39" s="16" t="s">
        <v>29</v>
      </c>
      <c r="B39" s="17">
        <v>4441014680</v>
      </c>
      <c r="C39" s="18" t="s">
        <v>51</v>
      </c>
      <c r="D39" s="18" t="s">
        <v>52</v>
      </c>
    </row>
    <row r="40" spans="1:4" x14ac:dyDescent="0.25">
      <c r="A40" s="16" t="s">
        <v>79</v>
      </c>
      <c r="B40" s="17">
        <v>4441014591</v>
      </c>
      <c r="C40" s="18" t="s">
        <v>51</v>
      </c>
      <c r="D40" s="18" t="s">
        <v>52</v>
      </c>
    </row>
    <row r="41" spans="1:4" x14ac:dyDescent="0.25">
      <c r="A41" s="16" t="s">
        <v>80</v>
      </c>
      <c r="B41" s="17">
        <v>4441011401</v>
      </c>
      <c r="C41" s="18" t="s">
        <v>51</v>
      </c>
      <c r="D41" s="18" t="s">
        <v>52</v>
      </c>
    </row>
    <row r="42" spans="1:4" x14ac:dyDescent="0.25">
      <c r="A42" s="16" t="s">
        <v>81</v>
      </c>
      <c r="B42" s="17">
        <v>4441013196</v>
      </c>
      <c r="C42" s="18" t="s">
        <v>51</v>
      </c>
      <c r="D42" s="18" t="s">
        <v>52</v>
      </c>
    </row>
    <row r="43" spans="1:4" x14ac:dyDescent="0.25">
      <c r="A43" s="16" t="s">
        <v>82</v>
      </c>
      <c r="B43" s="17">
        <v>4441008095</v>
      </c>
      <c r="C43" s="18" t="s">
        <v>51</v>
      </c>
      <c r="D43" s="18" t="s">
        <v>52</v>
      </c>
    </row>
    <row r="44" spans="1:4" x14ac:dyDescent="0.25">
      <c r="A44" s="16" t="s">
        <v>83</v>
      </c>
      <c r="B44" s="17">
        <v>4441014621</v>
      </c>
      <c r="C44" s="18" t="s">
        <v>51</v>
      </c>
      <c r="D44" s="18" t="s">
        <v>52</v>
      </c>
    </row>
    <row r="45" spans="1:4" x14ac:dyDescent="0.25">
      <c r="A45" s="16" t="s">
        <v>84</v>
      </c>
      <c r="B45" s="17">
        <v>4441016349</v>
      </c>
      <c r="C45" s="18" t="s">
        <v>51</v>
      </c>
      <c r="D45" s="18" t="s">
        <v>52</v>
      </c>
    </row>
    <row r="46" spans="1:4" x14ac:dyDescent="0.25">
      <c r="A46" s="16" t="s">
        <v>85</v>
      </c>
      <c r="B46" s="17">
        <v>4441009695</v>
      </c>
      <c r="C46" s="18" t="s">
        <v>51</v>
      </c>
      <c r="D46" s="18" t="s">
        <v>52</v>
      </c>
    </row>
    <row r="47" spans="1:4" x14ac:dyDescent="0.25">
      <c r="A47" s="16" t="s">
        <v>86</v>
      </c>
      <c r="B47" s="17">
        <v>4441009040</v>
      </c>
      <c r="C47" s="18" t="s">
        <v>51</v>
      </c>
      <c r="D47" s="18" t="s">
        <v>52</v>
      </c>
    </row>
    <row r="48" spans="1:4" x14ac:dyDescent="0.25">
      <c r="A48" s="16" t="s">
        <v>87</v>
      </c>
      <c r="B48" s="17">
        <v>4441011789</v>
      </c>
      <c r="C48" s="18" t="s">
        <v>51</v>
      </c>
      <c r="D48" s="18" t="s">
        <v>52</v>
      </c>
    </row>
    <row r="49" spans="1:4" x14ac:dyDescent="0.25">
      <c r="A49" s="16" t="s">
        <v>88</v>
      </c>
      <c r="B49" s="17">
        <v>4441013803</v>
      </c>
      <c r="C49" s="18" t="s">
        <v>51</v>
      </c>
      <c r="D49" s="18" t="s">
        <v>52</v>
      </c>
    </row>
    <row r="50" spans="1:4" x14ac:dyDescent="0.25">
      <c r="A50" s="16" t="s">
        <v>89</v>
      </c>
      <c r="B50" s="17">
        <v>4441013218</v>
      </c>
      <c r="C50" s="18" t="s">
        <v>51</v>
      </c>
      <c r="D50" s="18" t="s">
        <v>52</v>
      </c>
    </row>
    <row r="51" spans="1:4" x14ac:dyDescent="0.25">
      <c r="A51" s="16" t="s">
        <v>90</v>
      </c>
      <c r="B51" s="17">
        <v>4443700387</v>
      </c>
      <c r="C51" s="18" t="s">
        <v>51</v>
      </c>
      <c r="D51" s="18" t="s">
        <v>52</v>
      </c>
    </row>
    <row r="52" spans="1:4" x14ac:dyDescent="0.25">
      <c r="A52" s="16" t="s">
        <v>91</v>
      </c>
      <c r="B52" s="17">
        <v>4441008931</v>
      </c>
      <c r="C52" s="18" t="s">
        <v>51</v>
      </c>
      <c r="D52" s="18" t="s">
        <v>52</v>
      </c>
    </row>
    <row r="53" spans="1:4" x14ac:dyDescent="0.25">
      <c r="A53" s="16" t="s">
        <v>92</v>
      </c>
      <c r="B53" s="17">
        <v>4441008958</v>
      </c>
      <c r="C53" s="18" t="s">
        <v>51</v>
      </c>
      <c r="D53" s="18" t="s">
        <v>52</v>
      </c>
    </row>
    <row r="54" spans="1:4" x14ac:dyDescent="0.25">
      <c r="A54" s="16" t="s">
        <v>93</v>
      </c>
      <c r="B54" s="17">
        <v>4441009539</v>
      </c>
      <c r="C54" s="18" t="s">
        <v>51</v>
      </c>
      <c r="D54" s="18" t="s">
        <v>52</v>
      </c>
    </row>
    <row r="55" spans="1:4" x14ac:dyDescent="0.25">
      <c r="A55" s="16" t="s">
        <v>94</v>
      </c>
      <c r="B55" s="17">
        <v>4441011460</v>
      </c>
      <c r="C55" s="18" t="s">
        <v>51</v>
      </c>
      <c r="D55" s="18" t="s">
        <v>52</v>
      </c>
    </row>
    <row r="56" spans="1:4" x14ac:dyDescent="0.25">
      <c r="A56" s="16" t="s">
        <v>95</v>
      </c>
      <c r="B56" s="17">
        <v>4441010014</v>
      </c>
      <c r="C56" s="18" t="s">
        <v>51</v>
      </c>
      <c r="D56" s="18" t="s">
        <v>52</v>
      </c>
    </row>
    <row r="57" spans="1:4" x14ac:dyDescent="0.25">
      <c r="A57" s="16" t="s">
        <v>96</v>
      </c>
      <c r="B57" s="17">
        <v>4443701758</v>
      </c>
      <c r="C57" s="18" t="s">
        <v>51</v>
      </c>
      <c r="D57" s="18" t="s">
        <v>52</v>
      </c>
    </row>
    <row r="58" spans="1:4" x14ac:dyDescent="0.25">
      <c r="A58" s="16" t="s">
        <v>97</v>
      </c>
      <c r="B58" s="17">
        <v>4443700301</v>
      </c>
      <c r="C58" s="18" t="s">
        <v>51</v>
      </c>
      <c r="D58" s="18" t="s">
        <v>52</v>
      </c>
    </row>
    <row r="59" spans="1:4" x14ac:dyDescent="0.25">
      <c r="A59" s="16" t="s">
        <v>98</v>
      </c>
      <c r="B59" s="17">
        <v>4441009164</v>
      </c>
      <c r="C59" s="18" t="s">
        <v>51</v>
      </c>
      <c r="D59" s="18" t="s">
        <v>52</v>
      </c>
    </row>
    <row r="60" spans="1:4" x14ac:dyDescent="0.25">
      <c r="A60" s="16" t="s">
        <v>99</v>
      </c>
      <c r="B60" s="17">
        <v>4441009148</v>
      </c>
      <c r="C60" s="18" t="s">
        <v>51</v>
      </c>
      <c r="D60" s="18" t="s">
        <v>52</v>
      </c>
    </row>
    <row r="61" spans="1:4" x14ac:dyDescent="0.25">
      <c r="A61" s="16" t="s">
        <v>100</v>
      </c>
      <c r="B61" s="17">
        <v>4441009059</v>
      </c>
      <c r="C61" s="18" t="s">
        <v>51</v>
      </c>
      <c r="D61" s="18" t="s">
        <v>52</v>
      </c>
    </row>
    <row r="62" spans="1:4" x14ac:dyDescent="0.25">
      <c r="A62" s="16" t="s">
        <v>101</v>
      </c>
      <c r="B62" s="17">
        <v>4441009180</v>
      </c>
      <c r="C62" s="18" t="s">
        <v>51</v>
      </c>
      <c r="D62" s="18" t="s">
        <v>52</v>
      </c>
    </row>
    <row r="63" spans="1:4" x14ac:dyDescent="0.25">
      <c r="A63" s="16" t="s">
        <v>102</v>
      </c>
      <c r="B63" s="17">
        <v>4441009229</v>
      </c>
      <c r="C63" s="18" t="s">
        <v>51</v>
      </c>
      <c r="D63" s="18" t="s">
        <v>52</v>
      </c>
    </row>
    <row r="64" spans="1:4" x14ac:dyDescent="0.25">
      <c r="A64" s="16" t="s">
        <v>103</v>
      </c>
      <c r="B64" s="17">
        <v>4441009725</v>
      </c>
      <c r="C64" s="18" t="s">
        <v>51</v>
      </c>
      <c r="D64" s="18" t="s">
        <v>52</v>
      </c>
    </row>
    <row r="65" spans="1:4" x14ac:dyDescent="0.25">
      <c r="A65" s="16" t="s">
        <v>104</v>
      </c>
      <c r="B65" s="17">
        <v>4441009202</v>
      </c>
      <c r="C65" s="18" t="s">
        <v>51</v>
      </c>
      <c r="D65" s="18" t="s">
        <v>52</v>
      </c>
    </row>
    <row r="66" spans="1:4" x14ac:dyDescent="0.25">
      <c r="A66" s="16" t="s">
        <v>105</v>
      </c>
      <c r="B66" s="17">
        <v>4441015245</v>
      </c>
      <c r="C66" s="18" t="s">
        <v>51</v>
      </c>
      <c r="D66" s="18" t="s">
        <v>52</v>
      </c>
    </row>
    <row r="67" spans="1:4" x14ac:dyDescent="0.25">
      <c r="A67" s="16" t="s">
        <v>106</v>
      </c>
      <c r="B67" s="17">
        <v>4443701820</v>
      </c>
      <c r="C67" s="18" t="s">
        <v>51</v>
      </c>
      <c r="D67" s="18" t="s">
        <v>52</v>
      </c>
    </row>
    <row r="68" spans="1:4" x14ac:dyDescent="0.25">
      <c r="A68" s="16" t="s">
        <v>107</v>
      </c>
      <c r="B68" s="17">
        <v>4443701103</v>
      </c>
      <c r="C68" s="18" t="s">
        <v>51</v>
      </c>
      <c r="D68" s="18" t="s">
        <v>52</v>
      </c>
    </row>
    <row r="69" spans="1:4" x14ac:dyDescent="0.25">
      <c r="A69" s="16" t="s">
        <v>108</v>
      </c>
      <c r="B69" s="17">
        <v>4441010154</v>
      </c>
      <c r="C69" s="18" t="s">
        <v>51</v>
      </c>
      <c r="D69" s="18" t="s">
        <v>52</v>
      </c>
    </row>
    <row r="70" spans="1:4" x14ac:dyDescent="0.25">
      <c r="A70" s="16" t="s">
        <v>109</v>
      </c>
      <c r="B70" s="17">
        <v>4443702150</v>
      </c>
      <c r="C70" s="18" t="s">
        <v>51</v>
      </c>
      <c r="D70" s="18" t="s">
        <v>52</v>
      </c>
    </row>
    <row r="71" spans="1:4" x14ac:dyDescent="0.25">
      <c r="A71" s="16" t="s">
        <v>110</v>
      </c>
      <c r="B71" s="17">
        <v>4441013714</v>
      </c>
      <c r="C71" s="18" t="s">
        <v>51</v>
      </c>
      <c r="D71" s="18" t="s">
        <v>52</v>
      </c>
    </row>
    <row r="72" spans="1:4" x14ac:dyDescent="0.25">
      <c r="A72" s="16" t="s">
        <v>111</v>
      </c>
      <c r="B72" s="17">
        <v>4441010332</v>
      </c>
      <c r="C72" s="18" t="s">
        <v>51</v>
      </c>
      <c r="D72" s="18" t="s">
        <v>52</v>
      </c>
    </row>
    <row r="73" spans="1:4" x14ac:dyDescent="0.25">
      <c r="A73" s="16" t="s">
        <v>25</v>
      </c>
      <c r="B73" s="17">
        <v>4441016365</v>
      </c>
      <c r="C73" s="18" t="s">
        <v>51</v>
      </c>
      <c r="D73" s="18" t="s">
        <v>52</v>
      </c>
    </row>
    <row r="74" spans="1:4" x14ac:dyDescent="0.25">
      <c r="A74" s="16" t="s">
        <v>112</v>
      </c>
      <c r="B74" s="17">
        <v>4441016322</v>
      </c>
      <c r="C74" s="18" t="s">
        <v>51</v>
      </c>
      <c r="D74" s="18" t="s">
        <v>52</v>
      </c>
    </row>
    <row r="75" spans="1:4" x14ac:dyDescent="0.25">
      <c r="A75" s="16" t="s">
        <v>113</v>
      </c>
      <c r="B75" s="17">
        <v>4443700271</v>
      </c>
      <c r="C75" s="18" t="s">
        <v>51</v>
      </c>
      <c r="D75" s="18" t="s">
        <v>52</v>
      </c>
    </row>
    <row r="76" spans="1:4" x14ac:dyDescent="0.25">
      <c r="A76" s="16" t="s">
        <v>15</v>
      </c>
      <c r="B76" s="17">
        <v>4441009806</v>
      </c>
      <c r="C76" s="18" t="s">
        <v>51</v>
      </c>
      <c r="D76" s="18" t="s">
        <v>52</v>
      </c>
    </row>
    <row r="77" spans="1:4" x14ac:dyDescent="0.25">
      <c r="A77" s="16" t="s">
        <v>114</v>
      </c>
      <c r="B77" s="17">
        <v>4441009490</v>
      </c>
      <c r="C77" s="18" t="s">
        <v>51</v>
      </c>
      <c r="D77" s="18" t="s">
        <v>52</v>
      </c>
    </row>
    <row r="78" spans="1:4" x14ac:dyDescent="0.25">
      <c r="A78" s="16" t="s">
        <v>115</v>
      </c>
      <c r="B78" s="17">
        <v>4441009849</v>
      </c>
      <c r="C78" s="18" t="s">
        <v>51</v>
      </c>
      <c r="D78" s="18" t="s">
        <v>52</v>
      </c>
    </row>
    <row r="79" spans="1:4" x14ac:dyDescent="0.25">
      <c r="A79" s="16" t="s">
        <v>116</v>
      </c>
      <c r="B79" s="17">
        <v>4441009385</v>
      </c>
      <c r="C79" s="18" t="s">
        <v>51</v>
      </c>
      <c r="D79" s="18" t="s">
        <v>52</v>
      </c>
    </row>
    <row r="80" spans="1:4" x14ac:dyDescent="0.25">
      <c r="A80" s="16" t="s">
        <v>117</v>
      </c>
      <c r="B80" s="17">
        <v>4441015237</v>
      </c>
      <c r="C80" s="18" t="s">
        <v>51</v>
      </c>
      <c r="D80" s="18" t="s">
        <v>52</v>
      </c>
    </row>
    <row r="81" spans="1:4" x14ac:dyDescent="0.25">
      <c r="A81" s="16" t="s">
        <v>118</v>
      </c>
      <c r="B81" s="17">
        <v>4443700417</v>
      </c>
      <c r="C81" s="18" t="s">
        <v>51</v>
      </c>
      <c r="D81" s="18" t="s">
        <v>52</v>
      </c>
    </row>
    <row r="82" spans="1:4" x14ac:dyDescent="0.25">
      <c r="A82" s="16" t="s">
        <v>119</v>
      </c>
      <c r="B82" s="17">
        <v>4443701154</v>
      </c>
      <c r="C82" s="18" t="s">
        <v>51</v>
      </c>
      <c r="D82" s="18" t="s">
        <v>52</v>
      </c>
    </row>
    <row r="83" spans="1:4" x14ac:dyDescent="0.25">
      <c r="A83" s="16" t="s">
        <v>120</v>
      </c>
      <c r="B83" s="17">
        <v>4443701464</v>
      </c>
      <c r="C83" s="18" t="s">
        <v>51</v>
      </c>
      <c r="D83" s="18" t="s">
        <v>52</v>
      </c>
    </row>
    <row r="84" spans="1:4" x14ac:dyDescent="0.25">
      <c r="A84" s="16" t="s">
        <v>121</v>
      </c>
      <c r="B84" s="17">
        <v>4443701812</v>
      </c>
      <c r="C84" s="18" t="s">
        <v>51</v>
      </c>
      <c r="D84" s="18" t="s">
        <v>52</v>
      </c>
    </row>
    <row r="85" spans="1:4" x14ac:dyDescent="0.25">
      <c r="A85" s="16" t="s">
        <v>122</v>
      </c>
      <c r="B85" s="17">
        <v>4413702822</v>
      </c>
      <c r="C85" s="18" t="s">
        <v>51</v>
      </c>
      <c r="D85" s="18" t="s">
        <v>52</v>
      </c>
    </row>
    <row r="86" spans="1:4" x14ac:dyDescent="0.25">
      <c r="A86" s="16" t="s">
        <v>123</v>
      </c>
      <c r="B86" s="17">
        <v>4413702709</v>
      </c>
      <c r="C86" s="18" t="s">
        <v>51</v>
      </c>
      <c r="D86" s="18" t="s">
        <v>52</v>
      </c>
    </row>
    <row r="87" spans="1:4" x14ac:dyDescent="0.25">
      <c r="A87" s="16" t="s">
        <v>124</v>
      </c>
      <c r="B87" s="17">
        <v>4443702630</v>
      </c>
      <c r="C87" s="18" t="s">
        <v>51</v>
      </c>
      <c r="D87" s="18" t="s">
        <v>52</v>
      </c>
    </row>
    <row r="88" spans="1:4" x14ac:dyDescent="0.25">
      <c r="A88" s="16" t="s">
        <v>125</v>
      </c>
      <c r="B88" s="17">
        <v>4443702649</v>
      </c>
      <c r="C88" s="18" t="s">
        <v>51</v>
      </c>
      <c r="D88" s="18" t="s">
        <v>52</v>
      </c>
    </row>
    <row r="89" spans="1:4" x14ac:dyDescent="0.25">
      <c r="A89" s="16" t="s">
        <v>8</v>
      </c>
      <c r="B89" s="17">
        <v>4441014524</v>
      </c>
      <c r="C89" s="18" t="s">
        <v>51</v>
      </c>
      <c r="D89" s="18" t="s">
        <v>52</v>
      </c>
    </row>
    <row r="90" spans="1:4" x14ac:dyDescent="0.25">
      <c r="A90" s="16" t="s">
        <v>126</v>
      </c>
      <c r="B90" s="17">
        <v>4441014710</v>
      </c>
      <c r="C90" s="18" t="s">
        <v>51</v>
      </c>
      <c r="D90" s="18" t="s">
        <v>52</v>
      </c>
    </row>
    <row r="91" spans="1:4" x14ac:dyDescent="0.25">
      <c r="A91" s="16" t="s">
        <v>127</v>
      </c>
      <c r="B91" s="17">
        <v>4441014664</v>
      </c>
      <c r="C91" s="18" t="s">
        <v>51</v>
      </c>
      <c r="D91" s="18" t="s">
        <v>52</v>
      </c>
    </row>
    <row r="92" spans="1:4" x14ac:dyDescent="0.25">
      <c r="A92" s="16" t="s">
        <v>128</v>
      </c>
      <c r="B92" s="17">
        <v>4441016381</v>
      </c>
      <c r="C92" s="18" t="s">
        <v>51</v>
      </c>
      <c r="D92" s="18" t="s">
        <v>52</v>
      </c>
    </row>
    <row r="93" spans="1:4" x14ac:dyDescent="0.25">
      <c r="A93" s="16" t="s">
        <v>129</v>
      </c>
      <c r="B93" s="17">
        <v>4441014516</v>
      </c>
      <c r="C93" s="18" t="s">
        <v>51</v>
      </c>
      <c r="D93" s="18" t="s">
        <v>52</v>
      </c>
    </row>
    <row r="94" spans="1:4" x14ac:dyDescent="0.25">
      <c r="A94" s="16" t="s">
        <v>130</v>
      </c>
      <c r="B94" s="17">
        <v>4443701510</v>
      </c>
      <c r="C94" s="18" t="s">
        <v>51</v>
      </c>
      <c r="D94" s="18" t="s">
        <v>52</v>
      </c>
    </row>
    <row r="95" spans="1:4" x14ac:dyDescent="0.25">
      <c r="A95" s="16" t="s">
        <v>131</v>
      </c>
      <c r="B95" s="17">
        <v>4443701200</v>
      </c>
      <c r="C95" s="18" t="s">
        <v>51</v>
      </c>
      <c r="D95" s="18" t="s">
        <v>52</v>
      </c>
    </row>
    <row r="96" spans="1:4" x14ac:dyDescent="0.25">
      <c r="A96" s="16" t="s">
        <v>132</v>
      </c>
      <c r="B96" s="17">
        <v>4443701413</v>
      </c>
      <c r="C96" s="18" t="s">
        <v>51</v>
      </c>
      <c r="D96" s="18" t="s">
        <v>52</v>
      </c>
    </row>
    <row r="97" spans="1:4" x14ac:dyDescent="0.25">
      <c r="A97" s="16" t="s">
        <v>133</v>
      </c>
      <c r="B97" s="17">
        <v>4443700298</v>
      </c>
      <c r="C97" s="18" t="s">
        <v>51</v>
      </c>
      <c r="D97" s="18" t="s">
        <v>52</v>
      </c>
    </row>
    <row r="98" spans="1:4" x14ac:dyDescent="0.25">
      <c r="A98" s="16" t="s">
        <v>134</v>
      </c>
      <c r="B98" s="17">
        <v>4443701774</v>
      </c>
      <c r="C98" s="18" t="s">
        <v>51</v>
      </c>
      <c r="D98" s="18" t="s">
        <v>52</v>
      </c>
    </row>
    <row r="99" spans="1:4" x14ac:dyDescent="0.25">
      <c r="A99" s="16" t="s">
        <v>135</v>
      </c>
      <c r="B99" s="17">
        <v>4443701847</v>
      </c>
      <c r="C99" s="18" t="s">
        <v>51</v>
      </c>
      <c r="D99" s="18" t="s">
        <v>52</v>
      </c>
    </row>
    <row r="100" spans="1:4" x14ac:dyDescent="0.25">
      <c r="A100" s="16" t="s">
        <v>136</v>
      </c>
      <c r="B100" s="17">
        <v>4441010383</v>
      </c>
      <c r="C100" s="18" t="s">
        <v>51</v>
      </c>
      <c r="D100" s="18" t="s">
        <v>52</v>
      </c>
    </row>
    <row r="101" spans="1:4" x14ac:dyDescent="0.25">
      <c r="A101" s="16" t="s">
        <v>137</v>
      </c>
      <c r="B101" s="17">
        <v>4413702660</v>
      </c>
      <c r="C101" s="18" t="s">
        <v>51</v>
      </c>
      <c r="D101" s="18" t="s">
        <v>52</v>
      </c>
    </row>
    <row r="102" spans="1:4" x14ac:dyDescent="0.25">
      <c r="A102" s="16" t="s">
        <v>138</v>
      </c>
      <c r="B102" s="17">
        <v>4443702797</v>
      </c>
      <c r="C102" s="18" t="s">
        <v>51</v>
      </c>
      <c r="D102" s="18" t="s">
        <v>52</v>
      </c>
    </row>
    <row r="103" spans="1:4" x14ac:dyDescent="0.25">
      <c r="A103" s="16" t="s">
        <v>139</v>
      </c>
      <c r="B103" s="17">
        <v>4441010022</v>
      </c>
      <c r="C103" s="18" t="s">
        <v>51</v>
      </c>
      <c r="D103" s="18" t="s">
        <v>52</v>
      </c>
    </row>
    <row r="104" spans="1:4" x14ac:dyDescent="0.25">
      <c r="A104" s="16" t="s">
        <v>140</v>
      </c>
      <c r="B104" s="17">
        <v>4441010049</v>
      </c>
      <c r="C104" s="18" t="s">
        <v>51</v>
      </c>
      <c r="D104" s="18" t="s">
        <v>52</v>
      </c>
    </row>
    <row r="105" spans="1:4" x14ac:dyDescent="0.25">
      <c r="A105" s="16" t="s">
        <v>141</v>
      </c>
      <c r="B105" s="17">
        <v>4441010073</v>
      </c>
      <c r="C105" s="18" t="s">
        <v>51</v>
      </c>
      <c r="D105" s="18" t="s">
        <v>52</v>
      </c>
    </row>
    <row r="106" spans="1:4" x14ac:dyDescent="0.25">
      <c r="A106" s="16" t="s">
        <v>142</v>
      </c>
      <c r="B106" s="17">
        <v>4441010081</v>
      </c>
      <c r="C106" s="18" t="s">
        <v>51</v>
      </c>
      <c r="D106" s="18" t="s">
        <v>52</v>
      </c>
    </row>
    <row r="107" spans="1:4" x14ac:dyDescent="0.25">
      <c r="A107" s="16" t="s">
        <v>143</v>
      </c>
      <c r="B107" s="17">
        <v>4441010103</v>
      </c>
      <c r="C107" s="18" t="s">
        <v>51</v>
      </c>
      <c r="D107" s="18" t="s">
        <v>52</v>
      </c>
    </row>
    <row r="108" spans="1:4" x14ac:dyDescent="0.25">
      <c r="A108" s="16" t="s">
        <v>144</v>
      </c>
      <c r="B108" s="17">
        <v>4441010111</v>
      </c>
      <c r="C108" s="18" t="s">
        <v>51</v>
      </c>
      <c r="D108" s="18" t="s">
        <v>52</v>
      </c>
    </row>
    <row r="109" spans="1:4" x14ac:dyDescent="0.25">
      <c r="A109" s="16" t="s">
        <v>145</v>
      </c>
      <c r="B109" s="17">
        <v>4441010138</v>
      </c>
      <c r="C109" s="18" t="s">
        <v>51</v>
      </c>
      <c r="D109" s="18" t="s">
        <v>52</v>
      </c>
    </row>
    <row r="110" spans="1:4" x14ac:dyDescent="0.25">
      <c r="A110" s="16" t="s">
        <v>146</v>
      </c>
      <c r="B110" s="17">
        <v>4441010170</v>
      </c>
      <c r="C110" s="18" t="s">
        <v>51</v>
      </c>
      <c r="D110" s="18" t="s">
        <v>52</v>
      </c>
    </row>
    <row r="111" spans="1:4" x14ac:dyDescent="0.25">
      <c r="A111" s="16" t="s">
        <v>147</v>
      </c>
      <c r="B111" s="17">
        <v>4441010057</v>
      </c>
      <c r="C111" s="18" t="s">
        <v>51</v>
      </c>
      <c r="D111" s="18" t="s">
        <v>52</v>
      </c>
    </row>
    <row r="112" spans="1:4" x14ac:dyDescent="0.25">
      <c r="A112" s="16" t="s">
        <v>148</v>
      </c>
      <c r="B112" s="17">
        <v>4441010243</v>
      </c>
      <c r="C112" s="18" t="s">
        <v>51</v>
      </c>
      <c r="D112" s="18" t="s">
        <v>52</v>
      </c>
    </row>
    <row r="113" spans="1:4" x14ac:dyDescent="0.25">
      <c r="A113" s="16" t="s">
        <v>149</v>
      </c>
      <c r="B113" s="17">
        <v>4441010189</v>
      </c>
      <c r="C113" s="18" t="s">
        <v>51</v>
      </c>
      <c r="D113" s="18" t="s">
        <v>52</v>
      </c>
    </row>
    <row r="114" spans="1:4" x14ac:dyDescent="0.25">
      <c r="A114" s="16" t="s">
        <v>150</v>
      </c>
      <c r="B114" s="17">
        <v>4441010197</v>
      </c>
      <c r="C114" s="18" t="s">
        <v>51</v>
      </c>
      <c r="D114" s="18" t="s">
        <v>52</v>
      </c>
    </row>
    <row r="115" spans="1:4" x14ac:dyDescent="0.25">
      <c r="A115" s="16" t="s">
        <v>151</v>
      </c>
      <c r="B115" s="17">
        <v>4441010200</v>
      </c>
      <c r="C115" s="18" t="s">
        <v>51</v>
      </c>
      <c r="D115" s="18" t="s">
        <v>52</v>
      </c>
    </row>
    <row r="116" spans="1:4" x14ac:dyDescent="0.25">
      <c r="A116" s="16" t="s">
        <v>152</v>
      </c>
      <c r="B116" s="17">
        <v>4441016047</v>
      </c>
      <c r="C116" s="18" t="s">
        <v>51</v>
      </c>
      <c r="D116" s="18" t="s">
        <v>52</v>
      </c>
    </row>
    <row r="117" spans="1:4" x14ac:dyDescent="0.25">
      <c r="A117" s="16" t="s">
        <v>153</v>
      </c>
      <c r="B117" s="17">
        <v>4441010286</v>
      </c>
      <c r="C117" s="18" t="s">
        <v>51</v>
      </c>
      <c r="D117" s="18" t="s">
        <v>52</v>
      </c>
    </row>
    <row r="118" spans="1:4" x14ac:dyDescent="0.25">
      <c r="A118" s="16" t="s">
        <v>4</v>
      </c>
      <c r="B118" s="17">
        <v>4441010294</v>
      </c>
      <c r="C118" s="18" t="s">
        <v>51</v>
      </c>
      <c r="D118" s="18" t="s">
        <v>52</v>
      </c>
    </row>
    <row r="119" spans="1:4" x14ac:dyDescent="0.25">
      <c r="A119" s="16" t="s">
        <v>154</v>
      </c>
      <c r="B119" s="17">
        <v>4441010324</v>
      </c>
      <c r="C119" s="18" t="s">
        <v>51</v>
      </c>
      <c r="D119" s="18" t="s">
        <v>52</v>
      </c>
    </row>
    <row r="120" spans="1:4" x14ac:dyDescent="0.25">
      <c r="A120" s="16" t="s">
        <v>155</v>
      </c>
      <c r="B120" s="17">
        <v>4441011339</v>
      </c>
      <c r="C120" s="18" t="s">
        <v>51</v>
      </c>
      <c r="D120" s="18" t="s">
        <v>52</v>
      </c>
    </row>
    <row r="121" spans="1:4" x14ac:dyDescent="0.25">
      <c r="A121" s="16" t="s">
        <v>156</v>
      </c>
      <c r="B121" s="17">
        <v>4441012459</v>
      </c>
      <c r="C121" s="18" t="s">
        <v>51</v>
      </c>
      <c r="D121" s="18" t="s">
        <v>52</v>
      </c>
    </row>
    <row r="122" spans="1:4" x14ac:dyDescent="0.25">
      <c r="A122" s="16" t="s">
        <v>157</v>
      </c>
      <c r="B122" s="17">
        <v>4441012645</v>
      </c>
      <c r="C122" s="18" t="s">
        <v>51</v>
      </c>
      <c r="D122" s="18" t="s">
        <v>52</v>
      </c>
    </row>
    <row r="123" spans="1:4" x14ac:dyDescent="0.25">
      <c r="A123" s="16" t="s">
        <v>158</v>
      </c>
      <c r="B123" s="17">
        <v>4441010367</v>
      </c>
      <c r="C123" s="18" t="s">
        <v>51</v>
      </c>
      <c r="D123" s="18" t="s">
        <v>52</v>
      </c>
    </row>
    <row r="124" spans="1:4" x14ac:dyDescent="0.25">
      <c r="A124" s="16" t="s">
        <v>159</v>
      </c>
      <c r="B124" s="17">
        <v>4441010413</v>
      </c>
      <c r="C124" s="18" t="s">
        <v>51</v>
      </c>
      <c r="D124" s="18" t="s">
        <v>52</v>
      </c>
    </row>
    <row r="125" spans="1:4" x14ac:dyDescent="0.25">
      <c r="A125" s="16" t="s">
        <v>160</v>
      </c>
      <c r="B125" s="17">
        <v>4441010766</v>
      </c>
      <c r="C125" s="18" t="s">
        <v>51</v>
      </c>
      <c r="D125" s="18" t="s">
        <v>52</v>
      </c>
    </row>
    <row r="126" spans="1:4" x14ac:dyDescent="0.25">
      <c r="A126" s="16" t="s">
        <v>161</v>
      </c>
      <c r="B126" s="17">
        <v>4441015091</v>
      </c>
      <c r="C126" s="18" t="s">
        <v>51</v>
      </c>
      <c r="D126" s="18" t="s">
        <v>52</v>
      </c>
    </row>
    <row r="127" spans="1:4" x14ac:dyDescent="0.25">
      <c r="A127" s="16" t="s">
        <v>162</v>
      </c>
      <c r="B127" s="17">
        <v>4441016314</v>
      </c>
      <c r="C127" s="18" t="s">
        <v>51</v>
      </c>
      <c r="D127" s="18" t="s">
        <v>52</v>
      </c>
    </row>
    <row r="128" spans="1:4" x14ac:dyDescent="0.25">
      <c r="A128" s="16" t="s">
        <v>163</v>
      </c>
      <c r="B128" s="17">
        <v>4441016330</v>
      </c>
      <c r="C128" s="18" t="s">
        <v>51</v>
      </c>
      <c r="D128" s="18" t="s">
        <v>52</v>
      </c>
    </row>
    <row r="129" spans="1:4" x14ac:dyDescent="0.25">
      <c r="A129" s="16" t="s">
        <v>164</v>
      </c>
      <c r="B129" s="17">
        <v>4441010561</v>
      </c>
      <c r="C129" s="18" t="s">
        <v>51</v>
      </c>
      <c r="D129" s="18" t="s">
        <v>52</v>
      </c>
    </row>
    <row r="130" spans="1:4" x14ac:dyDescent="0.25">
      <c r="A130" s="16" t="s">
        <v>165</v>
      </c>
      <c r="B130" s="17">
        <v>4441010219</v>
      </c>
      <c r="C130" s="18" t="s">
        <v>51</v>
      </c>
      <c r="D130" s="18" t="s">
        <v>52</v>
      </c>
    </row>
    <row r="131" spans="1:4" x14ac:dyDescent="0.25">
      <c r="A131" s="16" t="s">
        <v>166</v>
      </c>
      <c r="B131" s="17">
        <v>4443701162</v>
      </c>
      <c r="C131" s="18" t="s">
        <v>51</v>
      </c>
      <c r="D131" s="18" t="s">
        <v>52</v>
      </c>
    </row>
    <row r="132" spans="1:4" x14ac:dyDescent="0.25">
      <c r="A132" s="16" t="s">
        <v>167</v>
      </c>
      <c r="B132" s="17">
        <v>4443701170</v>
      </c>
      <c r="C132" s="18" t="s">
        <v>51</v>
      </c>
      <c r="D132" s="18" t="s">
        <v>52</v>
      </c>
    </row>
    <row r="133" spans="1:4" x14ac:dyDescent="0.25">
      <c r="A133" s="16" t="s">
        <v>168</v>
      </c>
      <c r="B133" s="17">
        <v>4443701286</v>
      </c>
      <c r="C133" s="18" t="s">
        <v>51</v>
      </c>
      <c r="D133" s="18" t="s">
        <v>52</v>
      </c>
    </row>
    <row r="134" spans="1:4" x14ac:dyDescent="0.25">
      <c r="A134" s="16" t="s">
        <v>169</v>
      </c>
      <c r="B134" s="17">
        <v>4443701294</v>
      </c>
      <c r="C134" s="18" t="s">
        <v>51</v>
      </c>
      <c r="D134" s="18" t="s">
        <v>52</v>
      </c>
    </row>
    <row r="135" spans="1:4" x14ac:dyDescent="0.25">
      <c r="A135" s="16" t="s">
        <v>170</v>
      </c>
      <c r="B135" s="17">
        <v>4443701421</v>
      </c>
      <c r="C135" s="18" t="s">
        <v>51</v>
      </c>
      <c r="D135" s="18" t="s">
        <v>52</v>
      </c>
    </row>
    <row r="136" spans="1:4" x14ac:dyDescent="0.25">
      <c r="A136" s="16" t="s">
        <v>171</v>
      </c>
      <c r="B136" s="17">
        <v>4443703467</v>
      </c>
      <c r="C136" s="18" t="s">
        <v>51</v>
      </c>
      <c r="D136" s="18" t="s">
        <v>52</v>
      </c>
    </row>
    <row r="137" spans="1:4" x14ac:dyDescent="0.25">
      <c r="A137" s="16" t="s">
        <v>172</v>
      </c>
      <c r="B137" s="17">
        <v>4443703483</v>
      </c>
      <c r="C137" s="18" t="s">
        <v>51</v>
      </c>
      <c r="D137" s="18" t="s">
        <v>52</v>
      </c>
    </row>
    <row r="138" spans="1:4" x14ac:dyDescent="0.25">
      <c r="A138" s="16" t="s">
        <v>173</v>
      </c>
      <c r="B138" s="17">
        <v>4443703491</v>
      </c>
      <c r="C138" s="18" t="s">
        <v>51</v>
      </c>
      <c r="D138" s="18" t="s">
        <v>52</v>
      </c>
    </row>
    <row r="139" spans="1:4" x14ac:dyDescent="0.25">
      <c r="A139" s="16" t="s">
        <v>174</v>
      </c>
      <c r="B139" s="17">
        <v>4443703513</v>
      </c>
      <c r="C139" s="18" t="s">
        <v>51</v>
      </c>
      <c r="D139" s="18" t="s">
        <v>52</v>
      </c>
    </row>
    <row r="140" spans="1:4" x14ac:dyDescent="0.25">
      <c r="A140" s="16" t="s">
        <v>175</v>
      </c>
      <c r="B140" s="17">
        <v>4441009318</v>
      </c>
      <c r="C140" s="18" t="s">
        <v>51</v>
      </c>
      <c r="D140" s="18" t="s">
        <v>52</v>
      </c>
    </row>
    <row r="141" spans="1:4" x14ac:dyDescent="0.25">
      <c r="A141" s="16" t="s">
        <v>176</v>
      </c>
      <c r="B141" s="17">
        <v>4443703971</v>
      </c>
      <c r="C141" s="18" t="s">
        <v>51</v>
      </c>
      <c r="D141" s="18" t="s">
        <v>52</v>
      </c>
    </row>
    <row r="142" spans="1:4" x14ac:dyDescent="0.25">
      <c r="A142" s="16" t="s">
        <v>177</v>
      </c>
      <c r="B142" s="17">
        <v>4443703998</v>
      </c>
      <c r="C142" s="18" t="s">
        <v>51</v>
      </c>
      <c r="D142" s="18" t="s">
        <v>52</v>
      </c>
    </row>
    <row r="143" spans="1:4" x14ac:dyDescent="0.25">
      <c r="A143" s="16" t="s">
        <v>178</v>
      </c>
      <c r="B143" s="17">
        <v>4443704013</v>
      </c>
      <c r="C143" s="18" t="s">
        <v>51</v>
      </c>
      <c r="D143" s="18" t="s">
        <v>52</v>
      </c>
    </row>
    <row r="144" spans="1:4" x14ac:dyDescent="0.25">
      <c r="A144" s="16" t="s">
        <v>179</v>
      </c>
      <c r="B144" s="17">
        <v>4443704064</v>
      </c>
      <c r="C144" s="18" t="s">
        <v>51</v>
      </c>
      <c r="D144" s="18" t="s">
        <v>52</v>
      </c>
    </row>
    <row r="145" spans="1:4" x14ac:dyDescent="0.25">
      <c r="A145" s="16" t="s">
        <v>180</v>
      </c>
      <c r="B145" s="17">
        <v>4443704080</v>
      </c>
      <c r="C145" s="18" t="s">
        <v>51</v>
      </c>
      <c r="D145" s="18" t="s">
        <v>52</v>
      </c>
    </row>
    <row r="146" spans="1:4" x14ac:dyDescent="0.25">
      <c r="A146" s="16" t="s">
        <v>181</v>
      </c>
      <c r="B146" s="17">
        <v>4443704153</v>
      </c>
      <c r="C146" s="18" t="s">
        <v>51</v>
      </c>
      <c r="D146" s="18" t="s">
        <v>52</v>
      </c>
    </row>
    <row r="147" spans="1:4" x14ac:dyDescent="0.25">
      <c r="A147" s="16" t="s">
        <v>182</v>
      </c>
      <c r="B147" s="17">
        <v>4443704196</v>
      </c>
      <c r="C147" s="18" t="s">
        <v>51</v>
      </c>
      <c r="D147" s="18" t="s">
        <v>52</v>
      </c>
    </row>
    <row r="148" spans="1:4" x14ac:dyDescent="0.25">
      <c r="A148" s="16" t="s">
        <v>183</v>
      </c>
      <c r="B148" s="17">
        <v>4443704226</v>
      </c>
      <c r="C148" s="18" t="s">
        <v>51</v>
      </c>
      <c r="D148" s="18" t="s">
        <v>52</v>
      </c>
    </row>
    <row r="149" spans="1:4" x14ac:dyDescent="0.25">
      <c r="A149" s="16" t="s">
        <v>184</v>
      </c>
      <c r="B149" s="17">
        <v>4443704250</v>
      </c>
      <c r="C149" s="18" t="s">
        <v>51</v>
      </c>
      <c r="D149" s="18" t="s">
        <v>52</v>
      </c>
    </row>
    <row r="150" spans="1:4" x14ac:dyDescent="0.25">
      <c r="A150" s="16" t="s">
        <v>185</v>
      </c>
      <c r="B150" s="17">
        <v>4441012653</v>
      </c>
      <c r="C150" s="18" t="s">
        <v>51</v>
      </c>
      <c r="D150" s="18" t="s">
        <v>52</v>
      </c>
    </row>
    <row r="151" spans="1:4" x14ac:dyDescent="0.25">
      <c r="A151" s="16" t="s">
        <v>186</v>
      </c>
      <c r="B151" s="17">
        <v>4443704870</v>
      </c>
      <c r="C151" s="18" t="s">
        <v>51</v>
      </c>
      <c r="D151" s="18" t="s">
        <v>52</v>
      </c>
    </row>
    <row r="152" spans="1:4" x14ac:dyDescent="0.25">
      <c r="A152" s="16" t="s">
        <v>187</v>
      </c>
      <c r="B152" s="17">
        <v>4443704897</v>
      </c>
      <c r="C152" s="18" t="s">
        <v>51</v>
      </c>
      <c r="D152" s="18" t="s">
        <v>52</v>
      </c>
    </row>
    <row r="153" spans="1:4" x14ac:dyDescent="0.25">
      <c r="A153" s="16" t="s">
        <v>188</v>
      </c>
      <c r="B153" s="17">
        <v>4443704951</v>
      </c>
      <c r="C153" s="18" t="s">
        <v>51</v>
      </c>
      <c r="D153" s="18" t="s">
        <v>52</v>
      </c>
    </row>
    <row r="154" spans="1:4" x14ac:dyDescent="0.25">
      <c r="A154" s="16" t="s">
        <v>189</v>
      </c>
      <c r="B154" s="17">
        <v>4443704978</v>
      </c>
      <c r="C154" s="18" t="s">
        <v>51</v>
      </c>
      <c r="D154" s="18" t="s">
        <v>52</v>
      </c>
    </row>
    <row r="155" spans="1:4" x14ac:dyDescent="0.25">
      <c r="A155" s="16" t="s">
        <v>190</v>
      </c>
      <c r="B155" s="17">
        <v>4443704986</v>
      </c>
      <c r="C155" s="18" t="s">
        <v>51</v>
      </c>
      <c r="D155" s="18" t="s">
        <v>52</v>
      </c>
    </row>
    <row r="156" spans="1:4" x14ac:dyDescent="0.25">
      <c r="A156" s="16" t="s">
        <v>191</v>
      </c>
      <c r="B156" s="17">
        <v>4443705028</v>
      </c>
      <c r="C156" s="18" t="s">
        <v>51</v>
      </c>
      <c r="D156" s="18" t="s">
        <v>52</v>
      </c>
    </row>
    <row r="157" spans="1:4" x14ac:dyDescent="0.25">
      <c r="A157" s="20" t="s">
        <v>192</v>
      </c>
      <c r="B157" s="17">
        <v>4441010316</v>
      </c>
      <c r="C157" s="18" t="s">
        <v>51</v>
      </c>
      <c r="D157" s="18" t="s">
        <v>52</v>
      </c>
    </row>
    <row r="158" spans="1:4" x14ac:dyDescent="0.25">
      <c r="A158" s="16" t="s">
        <v>193</v>
      </c>
      <c r="B158" s="17">
        <v>4441013099</v>
      </c>
      <c r="C158" s="18" t="s">
        <v>51</v>
      </c>
      <c r="D158" s="18" t="s">
        <v>52</v>
      </c>
    </row>
    <row r="159" spans="1:4" x14ac:dyDescent="0.25">
      <c r="A159" s="16" t="s">
        <v>194</v>
      </c>
      <c r="B159" s="17">
        <v>4443702800</v>
      </c>
      <c r="C159" s="18" t="s">
        <v>51</v>
      </c>
      <c r="D159" s="18" t="s">
        <v>52</v>
      </c>
    </row>
    <row r="160" spans="1:4" x14ac:dyDescent="0.25">
      <c r="A160" s="16" t="s">
        <v>195</v>
      </c>
      <c r="B160" s="17">
        <v>4443705206</v>
      </c>
      <c r="C160" s="18" t="s">
        <v>51</v>
      </c>
      <c r="D160" s="18" t="s">
        <v>52</v>
      </c>
    </row>
    <row r="161" spans="1:4" x14ac:dyDescent="0.25">
      <c r="A161" s="16" t="s">
        <v>196</v>
      </c>
      <c r="B161" s="17">
        <v>4443705257</v>
      </c>
      <c r="C161" s="18" t="s">
        <v>51</v>
      </c>
      <c r="D161" s="18" t="s">
        <v>52</v>
      </c>
    </row>
    <row r="162" spans="1:4" x14ac:dyDescent="0.25">
      <c r="A162" s="16" t="s">
        <v>197</v>
      </c>
      <c r="B162" s="17">
        <v>4443705273</v>
      </c>
      <c r="C162" s="18" t="s">
        <v>51</v>
      </c>
      <c r="D162" s="18" t="s">
        <v>52</v>
      </c>
    </row>
    <row r="163" spans="1:4" x14ac:dyDescent="0.25">
      <c r="A163" s="16" t="s">
        <v>198</v>
      </c>
      <c r="B163" s="17">
        <v>4443705338</v>
      </c>
      <c r="C163" s="18" t="s">
        <v>51</v>
      </c>
      <c r="D163" s="18" t="s">
        <v>52</v>
      </c>
    </row>
    <row r="164" spans="1:4" x14ac:dyDescent="0.25">
      <c r="A164" s="16" t="s">
        <v>199</v>
      </c>
      <c r="B164" s="17">
        <v>3141056709</v>
      </c>
      <c r="C164" s="18" t="s">
        <v>51</v>
      </c>
      <c r="D164" s="18" t="s">
        <v>55</v>
      </c>
    </row>
    <row r="165" spans="1:4" x14ac:dyDescent="0.25">
      <c r="A165" s="16" t="s">
        <v>200</v>
      </c>
      <c r="B165" s="17">
        <v>5203705086</v>
      </c>
      <c r="C165" s="18" t="s">
        <v>51</v>
      </c>
      <c r="D165" s="18" t="s">
        <v>52</v>
      </c>
    </row>
    <row r="166" spans="1:4" x14ac:dyDescent="0.25">
      <c r="A166" s="16" t="s">
        <v>201</v>
      </c>
      <c r="B166" s="17">
        <v>5203705094</v>
      </c>
      <c r="C166" s="18" t="s">
        <v>51</v>
      </c>
      <c r="D166" s="18" t="s">
        <v>52</v>
      </c>
    </row>
    <row r="167" spans="1:4" x14ac:dyDescent="0.25">
      <c r="A167" s="16" t="s">
        <v>202</v>
      </c>
      <c r="B167" s="17">
        <v>5203705108</v>
      </c>
      <c r="C167" s="18" t="s">
        <v>51</v>
      </c>
      <c r="D167" s="18" t="s">
        <v>52</v>
      </c>
    </row>
    <row r="168" spans="1:4" x14ac:dyDescent="0.25">
      <c r="A168" s="16" t="s">
        <v>203</v>
      </c>
      <c r="B168" s="17">
        <v>5203705116</v>
      </c>
      <c r="C168" s="18" t="s">
        <v>51</v>
      </c>
      <c r="D168" s="18" t="s">
        <v>52</v>
      </c>
    </row>
    <row r="169" spans="1:4" x14ac:dyDescent="0.25">
      <c r="A169" s="16" t="s">
        <v>204</v>
      </c>
      <c r="B169" s="17">
        <v>5203705124</v>
      </c>
      <c r="C169" s="18" t="s">
        <v>51</v>
      </c>
      <c r="D169" s="18" t="s">
        <v>52</v>
      </c>
    </row>
    <row r="170" spans="1:4" x14ac:dyDescent="0.25">
      <c r="A170" s="16" t="s">
        <v>205</v>
      </c>
      <c r="B170" s="17">
        <v>5203705132</v>
      </c>
      <c r="C170" s="18" t="s">
        <v>51</v>
      </c>
      <c r="D170" s="18" t="s">
        <v>52</v>
      </c>
    </row>
    <row r="171" spans="1:4" x14ac:dyDescent="0.25">
      <c r="A171" s="16" t="s">
        <v>206</v>
      </c>
      <c r="B171" s="17">
        <v>5203705140</v>
      </c>
      <c r="C171" s="18" t="s">
        <v>51</v>
      </c>
      <c r="D171" s="18" t="s">
        <v>52</v>
      </c>
    </row>
    <row r="172" spans="1:4" x14ac:dyDescent="0.25">
      <c r="A172" s="16" t="s">
        <v>207</v>
      </c>
      <c r="B172" s="17">
        <v>5203705159</v>
      </c>
      <c r="C172" s="18" t="s">
        <v>51</v>
      </c>
      <c r="D172" s="18" t="s">
        <v>52</v>
      </c>
    </row>
    <row r="173" spans="1:4" x14ac:dyDescent="0.25">
      <c r="A173" s="16" t="s">
        <v>208</v>
      </c>
      <c r="B173" s="17">
        <v>5203705167</v>
      </c>
      <c r="C173" s="18" t="s">
        <v>51</v>
      </c>
      <c r="D173" s="18" t="s">
        <v>52</v>
      </c>
    </row>
    <row r="174" spans="1:4" x14ac:dyDescent="0.25">
      <c r="A174" s="16" t="s">
        <v>209</v>
      </c>
      <c r="B174" s="17">
        <v>5203705175</v>
      </c>
      <c r="C174" s="18" t="s">
        <v>51</v>
      </c>
      <c r="D174" s="18" t="s">
        <v>52</v>
      </c>
    </row>
    <row r="175" spans="1:4" x14ac:dyDescent="0.25">
      <c r="A175" s="16" t="s">
        <v>33</v>
      </c>
      <c r="B175" s="17">
        <v>5203705183</v>
      </c>
      <c r="C175" s="18" t="s">
        <v>51</v>
      </c>
      <c r="D175" s="18" t="s">
        <v>52</v>
      </c>
    </row>
    <row r="176" spans="1:4" x14ac:dyDescent="0.25">
      <c r="A176" s="16" t="s">
        <v>210</v>
      </c>
      <c r="B176" s="17">
        <v>5203705191</v>
      </c>
      <c r="C176" s="18" t="s">
        <v>51</v>
      </c>
      <c r="D176" s="18" t="s">
        <v>52</v>
      </c>
    </row>
    <row r="177" spans="1:4" x14ac:dyDescent="0.25">
      <c r="A177" s="16" t="s">
        <v>211</v>
      </c>
      <c r="B177" s="17">
        <v>5203705213</v>
      </c>
      <c r="C177" s="18" t="s">
        <v>51</v>
      </c>
      <c r="D177" s="18" t="s">
        <v>52</v>
      </c>
    </row>
    <row r="178" spans="1:4" x14ac:dyDescent="0.25">
      <c r="A178" s="16" t="s">
        <v>630</v>
      </c>
      <c r="B178" s="17">
        <v>5203705221</v>
      </c>
      <c r="C178" s="18" t="s">
        <v>51</v>
      </c>
      <c r="D178" s="18" t="s">
        <v>52</v>
      </c>
    </row>
    <row r="179" spans="1:4" x14ac:dyDescent="0.25">
      <c r="A179" s="16" t="s">
        <v>212</v>
      </c>
      <c r="B179" s="17">
        <v>5203705248</v>
      </c>
      <c r="C179" s="18" t="s">
        <v>51</v>
      </c>
      <c r="D179" s="18" t="s">
        <v>52</v>
      </c>
    </row>
    <row r="180" spans="1:4" x14ac:dyDescent="0.25">
      <c r="A180" s="21" t="s">
        <v>213</v>
      </c>
      <c r="B180" s="22">
        <v>3043700969</v>
      </c>
      <c r="C180" s="23" t="s">
        <v>51</v>
      </c>
      <c r="D180" s="24" t="s">
        <v>54</v>
      </c>
    </row>
    <row r="181" spans="1:4" x14ac:dyDescent="0.25">
      <c r="A181" s="16" t="s">
        <v>214</v>
      </c>
      <c r="B181" s="17">
        <v>4443709392</v>
      </c>
      <c r="C181" s="18" t="s">
        <v>51</v>
      </c>
      <c r="D181" s="18" t="s">
        <v>52</v>
      </c>
    </row>
    <row r="182" spans="1:4" x14ac:dyDescent="0.25">
      <c r="A182" s="16" t="s">
        <v>215</v>
      </c>
      <c r="B182" s="17">
        <v>4443709406</v>
      </c>
      <c r="C182" s="18" t="s">
        <v>51</v>
      </c>
      <c r="D182" s="18" t="s">
        <v>52</v>
      </c>
    </row>
    <row r="183" spans="1:4" x14ac:dyDescent="0.25">
      <c r="A183" s="16" t="s">
        <v>216</v>
      </c>
      <c r="B183" s="17">
        <v>4443709430</v>
      </c>
      <c r="C183" s="18" t="s">
        <v>51</v>
      </c>
      <c r="D183" s="18" t="s">
        <v>52</v>
      </c>
    </row>
    <row r="184" spans="1:4" x14ac:dyDescent="0.25">
      <c r="A184" s="16" t="s">
        <v>217</v>
      </c>
      <c r="B184" s="17">
        <v>4443709449</v>
      </c>
      <c r="C184" s="18" t="s">
        <v>51</v>
      </c>
      <c r="D184" s="18" t="s">
        <v>52</v>
      </c>
    </row>
    <row r="185" spans="1:4" x14ac:dyDescent="0.25">
      <c r="A185" s="16" t="s">
        <v>218</v>
      </c>
      <c r="B185" s="17">
        <v>4443709457</v>
      </c>
      <c r="C185" s="18" t="s">
        <v>51</v>
      </c>
      <c r="D185" s="18" t="s">
        <v>52</v>
      </c>
    </row>
    <row r="186" spans="1:4" x14ac:dyDescent="0.25">
      <c r="A186" s="16" t="s">
        <v>219</v>
      </c>
      <c r="B186" s="17">
        <v>4443709465</v>
      </c>
      <c r="C186" s="18" t="s">
        <v>51</v>
      </c>
      <c r="D186" s="18" t="s">
        <v>52</v>
      </c>
    </row>
    <row r="187" spans="1:4" x14ac:dyDescent="0.25">
      <c r="A187" s="16" t="s">
        <v>220</v>
      </c>
      <c r="B187" s="17">
        <v>4443709473</v>
      </c>
      <c r="C187" s="18" t="s">
        <v>51</v>
      </c>
      <c r="D187" s="18" t="s">
        <v>52</v>
      </c>
    </row>
    <row r="188" spans="1:4" x14ac:dyDescent="0.25">
      <c r="A188" s="16" t="s">
        <v>221</v>
      </c>
      <c r="B188" s="17">
        <v>4443709481</v>
      </c>
      <c r="C188" s="18" t="s">
        <v>51</v>
      </c>
      <c r="D188" s="18" t="s">
        <v>52</v>
      </c>
    </row>
    <row r="189" spans="1:4" x14ac:dyDescent="0.25">
      <c r="A189" s="16" t="s">
        <v>222</v>
      </c>
      <c r="B189" s="17">
        <v>4443709503</v>
      </c>
      <c r="C189" s="18" t="s">
        <v>51</v>
      </c>
      <c r="D189" s="18" t="s">
        <v>52</v>
      </c>
    </row>
    <row r="190" spans="1:4" x14ac:dyDescent="0.25">
      <c r="A190" s="16" t="s">
        <v>223</v>
      </c>
      <c r="B190" s="17">
        <v>4443709511</v>
      </c>
      <c r="C190" s="18" t="s">
        <v>51</v>
      </c>
      <c r="D190" s="18" t="s">
        <v>52</v>
      </c>
    </row>
    <row r="191" spans="1:4" x14ac:dyDescent="0.25">
      <c r="A191" s="16" t="s">
        <v>224</v>
      </c>
      <c r="B191" s="17">
        <v>4443709538</v>
      </c>
      <c r="C191" s="18" t="s">
        <v>51</v>
      </c>
      <c r="D191" s="18" t="s">
        <v>52</v>
      </c>
    </row>
    <row r="192" spans="1:4" x14ac:dyDescent="0.25">
      <c r="A192" s="16" t="s">
        <v>225</v>
      </c>
      <c r="B192" s="17">
        <v>4443709546</v>
      </c>
      <c r="C192" s="18" t="s">
        <v>51</v>
      </c>
      <c r="D192" s="18" t="s">
        <v>52</v>
      </c>
    </row>
    <row r="193" spans="1:4" x14ac:dyDescent="0.25">
      <c r="A193" s="16" t="s">
        <v>226</v>
      </c>
      <c r="B193" s="17">
        <v>4443709554</v>
      </c>
      <c r="C193" s="18" t="s">
        <v>51</v>
      </c>
      <c r="D193" s="18" t="s">
        <v>52</v>
      </c>
    </row>
    <row r="194" spans="1:4" x14ac:dyDescent="0.25">
      <c r="A194" s="16" t="s">
        <v>227</v>
      </c>
      <c r="B194" s="17">
        <v>4443709562</v>
      </c>
      <c r="C194" s="18" t="s">
        <v>51</v>
      </c>
      <c r="D194" s="18" t="s">
        <v>52</v>
      </c>
    </row>
    <row r="195" spans="1:4" x14ac:dyDescent="0.25">
      <c r="A195" s="16" t="s">
        <v>228</v>
      </c>
      <c r="B195" s="17">
        <v>4443709570</v>
      </c>
      <c r="C195" s="18" t="s">
        <v>51</v>
      </c>
      <c r="D195" s="18" t="s">
        <v>52</v>
      </c>
    </row>
    <row r="196" spans="1:4" x14ac:dyDescent="0.25">
      <c r="A196" s="16" t="s">
        <v>229</v>
      </c>
      <c r="B196" s="17">
        <v>4443709589</v>
      </c>
      <c r="C196" s="18" t="s">
        <v>51</v>
      </c>
      <c r="D196" s="18" t="s">
        <v>52</v>
      </c>
    </row>
    <row r="197" spans="1:4" x14ac:dyDescent="0.25">
      <c r="A197" s="16" t="s">
        <v>23</v>
      </c>
      <c r="B197" s="25" t="s">
        <v>53</v>
      </c>
      <c r="C197" s="26" t="s">
        <v>51</v>
      </c>
      <c r="D197" s="27" t="s">
        <v>54</v>
      </c>
    </row>
    <row r="198" spans="1:4" x14ac:dyDescent="0.25">
      <c r="A198" s="28" t="s">
        <v>230</v>
      </c>
      <c r="B198" s="29" t="s">
        <v>231</v>
      </c>
      <c r="C198" s="27" t="s">
        <v>232</v>
      </c>
      <c r="D198" s="27" t="s">
        <v>233</v>
      </c>
    </row>
    <row r="199" spans="1:4" x14ac:dyDescent="0.25">
      <c r="A199" s="16" t="s">
        <v>234</v>
      </c>
      <c r="B199" s="17" t="s">
        <v>235</v>
      </c>
      <c r="C199" s="18" t="s">
        <v>51</v>
      </c>
      <c r="D199" s="18" t="s">
        <v>54</v>
      </c>
    </row>
    <row r="200" spans="1:4" x14ac:dyDescent="0.25">
      <c r="A200" s="16" t="s">
        <v>236</v>
      </c>
      <c r="B200" s="17" t="s">
        <v>237</v>
      </c>
      <c r="C200" s="18" t="s">
        <v>238</v>
      </c>
      <c r="D200" s="18" t="s">
        <v>239</v>
      </c>
    </row>
    <row r="201" spans="1:4" x14ac:dyDescent="0.25">
      <c r="A201" s="16" t="s">
        <v>240</v>
      </c>
      <c r="B201" s="17" t="s">
        <v>241</v>
      </c>
      <c r="C201" s="18" t="s">
        <v>232</v>
      </c>
      <c r="D201" s="18" t="s">
        <v>239</v>
      </c>
    </row>
    <row r="202" spans="1:4" x14ac:dyDescent="0.25">
      <c r="A202" s="16" t="s">
        <v>242</v>
      </c>
      <c r="B202" s="17" t="s">
        <v>243</v>
      </c>
      <c r="C202" s="18" t="s">
        <v>238</v>
      </c>
      <c r="D202" s="18" t="s">
        <v>239</v>
      </c>
    </row>
    <row r="203" spans="1:4" x14ac:dyDescent="0.25">
      <c r="A203" s="16" t="s">
        <v>244</v>
      </c>
      <c r="B203" s="17" t="s">
        <v>245</v>
      </c>
      <c r="C203" s="18" t="s">
        <v>232</v>
      </c>
      <c r="D203" s="18" t="s">
        <v>246</v>
      </c>
    </row>
    <row r="204" spans="1:4" x14ac:dyDescent="0.25">
      <c r="A204" s="16" t="s">
        <v>247</v>
      </c>
      <c r="B204" s="17" t="s">
        <v>248</v>
      </c>
      <c r="C204" s="18" t="s">
        <v>51</v>
      </c>
      <c r="D204" s="18" t="s">
        <v>52</v>
      </c>
    </row>
    <row r="205" spans="1:4" x14ac:dyDescent="0.25">
      <c r="A205" s="16" t="s">
        <v>249</v>
      </c>
      <c r="B205" s="17">
        <v>4443712458</v>
      </c>
      <c r="C205" s="18" t="s">
        <v>51</v>
      </c>
      <c r="D205" s="18" t="s">
        <v>52</v>
      </c>
    </row>
    <row r="206" spans="1:4" x14ac:dyDescent="0.25">
      <c r="A206" s="16" t="s">
        <v>250</v>
      </c>
      <c r="B206" s="17">
        <v>4443712423</v>
      </c>
      <c r="C206" s="18" t="s">
        <v>51</v>
      </c>
      <c r="D206" s="18" t="s">
        <v>52</v>
      </c>
    </row>
    <row r="207" spans="1:4" x14ac:dyDescent="0.25">
      <c r="A207" s="16" t="s">
        <v>251</v>
      </c>
      <c r="B207" s="17">
        <v>4443712563</v>
      </c>
      <c r="C207" s="18" t="s">
        <v>51</v>
      </c>
      <c r="D207" s="18" t="s">
        <v>52</v>
      </c>
    </row>
    <row r="208" spans="1:4" x14ac:dyDescent="0.25">
      <c r="A208" s="16" t="s">
        <v>252</v>
      </c>
      <c r="B208" s="17">
        <v>4443712555</v>
      </c>
      <c r="C208" s="18" t="s">
        <v>51</v>
      </c>
      <c r="D208" s="18" t="s">
        <v>52</v>
      </c>
    </row>
    <row r="209" spans="1:4" x14ac:dyDescent="0.25">
      <c r="A209" s="16" t="s">
        <v>253</v>
      </c>
      <c r="B209" s="17">
        <v>4443712547</v>
      </c>
      <c r="C209" s="18" t="s">
        <v>51</v>
      </c>
      <c r="D209" s="18" t="s">
        <v>52</v>
      </c>
    </row>
    <row r="210" spans="1:4" x14ac:dyDescent="0.25">
      <c r="A210" s="16" t="s">
        <v>254</v>
      </c>
      <c r="B210" s="17">
        <v>4443712741</v>
      </c>
      <c r="C210" s="18" t="s">
        <v>51</v>
      </c>
      <c r="D210" s="18" t="s">
        <v>52</v>
      </c>
    </row>
    <row r="211" spans="1:4" x14ac:dyDescent="0.25">
      <c r="A211" s="16" t="s">
        <v>255</v>
      </c>
      <c r="B211" s="17">
        <v>4443712504</v>
      </c>
      <c r="C211" s="18" t="s">
        <v>51</v>
      </c>
      <c r="D211" s="18" t="s">
        <v>52</v>
      </c>
    </row>
    <row r="212" spans="1:4" x14ac:dyDescent="0.25">
      <c r="A212" s="16" t="s">
        <v>256</v>
      </c>
      <c r="B212" s="17">
        <v>4443712490</v>
      </c>
      <c r="C212" s="18" t="s">
        <v>51</v>
      </c>
      <c r="D212" s="18" t="s">
        <v>52</v>
      </c>
    </row>
    <row r="213" spans="1:4" x14ac:dyDescent="0.25">
      <c r="A213" s="16" t="s">
        <v>257</v>
      </c>
      <c r="B213" s="17">
        <v>4443712849</v>
      </c>
      <c r="C213" s="18" t="s">
        <v>51</v>
      </c>
      <c r="D213" s="18" t="s">
        <v>52</v>
      </c>
    </row>
    <row r="214" spans="1:4" x14ac:dyDescent="0.25">
      <c r="A214" s="16" t="s">
        <v>258</v>
      </c>
      <c r="B214" s="17">
        <v>4443712857</v>
      </c>
      <c r="C214" s="18" t="s">
        <v>51</v>
      </c>
      <c r="D214" s="18" t="s">
        <v>52</v>
      </c>
    </row>
    <row r="215" spans="1:4" x14ac:dyDescent="0.25">
      <c r="A215" s="16" t="s">
        <v>259</v>
      </c>
      <c r="B215" s="17">
        <v>4443712822</v>
      </c>
      <c r="C215" s="18" t="s">
        <v>51</v>
      </c>
      <c r="D215" s="18" t="s">
        <v>52</v>
      </c>
    </row>
    <row r="216" spans="1:4" x14ac:dyDescent="0.25">
      <c r="A216" s="16" t="s">
        <v>260</v>
      </c>
      <c r="B216" s="17">
        <v>4443712806</v>
      </c>
      <c r="C216" s="18" t="s">
        <v>51</v>
      </c>
      <c r="D216" s="18" t="s">
        <v>52</v>
      </c>
    </row>
    <row r="217" spans="1:4" x14ac:dyDescent="0.25">
      <c r="A217" s="16" t="s">
        <v>261</v>
      </c>
      <c r="B217" s="17">
        <v>4443712865</v>
      </c>
      <c r="C217" s="18" t="s">
        <v>51</v>
      </c>
      <c r="D217" s="18" t="s">
        <v>52</v>
      </c>
    </row>
    <row r="218" spans="1:4" x14ac:dyDescent="0.25">
      <c r="A218" s="16" t="s">
        <v>262</v>
      </c>
      <c r="B218" s="17">
        <v>4443712776</v>
      </c>
      <c r="C218" s="18" t="s">
        <v>51</v>
      </c>
      <c r="D218" s="18" t="s">
        <v>52</v>
      </c>
    </row>
    <row r="219" spans="1:4" x14ac:dyDescent="0.25">
      <c r="A219" s="16" t="s">
        <v>263</v>
      </c>
      <c r="B219" s="17">
        <v>4443712830</v>
      </c>
      <c r="C219" s="18" t="s">
        <v>51</v>
      </c>
      <c r="D219" s="18" t="s">
        <v>52</v>
      </c>
    </row>
    <row r="220" spans="1:4" x14ac:dyDescent="0.25">
      <c r="A220" s="16" t="s">
        <v>264</v>
      </c>
      <c r="B220" s="17">
        <v>4443712768</v>
      </c>
      <c r="C220" s="18" t="s">
        <v>51</v>
      </c>
      <c r="D220" s="18" t="s">
        <v>52</v>
      </c>
    </row>
    <row r="221" spans="1:4" x14ac:dyDescent="0.25">
      <c r="A221" s="16" t="s">
        <v>265</v>
      </c>
      <c r="B221" s="17">
        <v>4443712474</v>
      </c>
      <c r="C221" s="18" t="s">
        <v>51</v>
      </c>
      <c r="D221" s="18" t="s">
        <v>52</v>
      </c>
    </row>
    <row r="222" spans="1:4" x14ac:dyDescent="0.25">
      <c r="A222" s="16" t="s">
        <v>266</v>
      </c>
      <c r="B222" s="17">
        <v>4443712814</v>
      </c>
      <c r="C222" s="18" t="s">
        <v>51</v>
      </c>
      <c r="D222" s="18" t="s">
        <v>52</v>
      </c>
    </row>
    <row r="223" spans="1:4" x14ac:dyDescent="0.25">
      <c r="A223" s="16" t="s">
        <v>267</v>
      </c>
      <c r="B223" s="17">
        <v>4443712482</v>
      </c>
      <c r="C223" s="18" t="s">
        <v>51</v>
      </c>
      <c r="D223" s="18" t="s">
        <v>52</v>
      </c>
    </row>
    <row r="224" spans="1:4" x14ac:dyDescent="0.25">
      <c r="A224" s="16" t="s">
        <v>268</v>
      </c>
      <c r="B224" s="17">
        <v>4443712644</v>
      </c>
      <c r="C224" s="18" t="s">
        <v>51</v>
      </c>
      <c r="D224" s="18" t="s">
        <v>52</v>
      </c>
    </row>
    <row r="225" spans="1:4" x14ac:dyDescent="0.25">
      <c r="A225" s="16" t="s">
        <v>269</v>
      </c>
      <c r="B225" s="17">
        <v>4443712881</v>
      </c>
      <c r="C225" s="18" t="s">
        <v>51</v>
      </c>
      <c r="D225" s="18" t="s">
        <v>52</v>
      </c>
    </row>
    <row r="226" spans="1:4" x14ac:dyDescent="0.25">
      <c r="A226" s="16" t="s">
        <v>24</v>
      </c>
      <c r="B226" s="17">
        <v>4443712660</v>
      </c>
      <c r="C226" s="18" t="s">
        <v>51</v>
      </c>
      <c r="D226" s="18" t="s">
        <v>52</v>
      </c>
    </row>
    <row r="227" spans="1:4" x14ac:dyDescent="0.25">
      <c r="A227" s="16" t="s">
        <v>270</v>
      </c>
      <c r="B227" s="17">
        <v>4443712512</v>
      </c>
      <c r="C227" s="18" t="s">
        <v>51</v>
      </c>
      <c r="D227" s="18" t="s">
        <v>52</v>
      </c>
    </row>
    <row r="228" spans="1:4" x14ac:dyDescent="0.25">
      <c r="A228" s="16" t="s">
        <v>271</v>
      </c>
      <c r="B228" s="17">
        <v>4443712733</v>
      </c>
      <c r="C228" s="18" t="s">
        <v>51</v>
      </c>
      <c r="D228" s="18" t="s">
        <v>52</v>
      </c>
    </row>
    <row r="229" spans="1:4" x14ac:dyDescent="0.25">
      <c r="A229" s="16" t="s">
        <v>272</v>
      </c>
      <c r="B229" s="17">
        <v>4443712725</v>
      </c>
      <c r="C229" s="18" t="s">
        <v>51</v>
      </c>
      <c r="D229" s="18" t="s">
        <v>52</v>
      </c>
    </row>
    <row r="230" spans="1:4" x14ac:dyDescent="0.25">
      <c r="A230" s="16" t="s">
        <v>273</v>
      </c>
      <c r="B230" s="17">
        <v>4443712539</v>
      </c>
      <c r="C230" s="18" t="s">
        <v>51</v>
      </c>
      <c r="D230" s="18" t="s">
        <v>52</v>
      </c>
    </row>
    <row r="231" spans="1:4" x14ac:dyDescent="0.25">
      <c r="A231" s="16" t="s">
        <v>274</v>
      </c>
      <c r="B231" s="17">
        <v>4443709414</v>
      </c>
      <c r="C231" s="18" t="s">
        <v>51</v>
      </c>
      <c r="D231" s="18" t="s">
        <v>52</v>
      </c>
    </row>
    <row r="232" spans="1:4" x14ac:dyDescent="0.25">
      <c r="A232" s="16" t="s">
        <v>275</v>
      </c>
      <c r="B232" s="17" t="s">
        <v>276</v>
      </c>
      <c r="C232" s="18" t="s">
        <v>51</v>
      </c>
      <c r="D232" s="18" t="s">
        <v>52</v>
      </c>
    </row>
    <row r="233" spans="1:4" x14ac:dyDescent="0.25">
      <c r="A233" s="16" t="s">
        <v>277</v>
      </c>
      <c r="B233" s="17" t="s">
        <v>278</v>
      </c>
      <c r="C233" s="18" t="s">
        <v>51</v>
      </c>
      <c r="D233" s="18" t="s">
        <v>52</v>
      </c>
    </row>
    <row r="234" spans="1:4" x14ac:dyDescent="0.25">
      <c r="A234" s="16" t="s">
        <v>279</v>
      </c>
      <c r="B234" s="17" t="s">
        <v>280</v>
      </c>
      <c r="C234" s="18" t="s">
        <v>51</v>
      </c>
      <c r="D234" s="18" t="s">
        <v>52</v>
      </c>
    </row>
    <row r="235" spans="1:4" x14ac:dyDescent="0.25">
      <c r="A235" s="16" t="s">
        <v>281</v>
      </c>
      <c r="B235" s="17" t="s">
        <v>282</v>
      </c>
      <c r="C235" s="18" t="s">
        <v>51</v>
      </c>
      <c r="D235" s="18" t="s">
        <v>52</v>
      </c>
    </row>
    <row r="236" spans="1:4" x14ac:dyDescent="0.25">
      <c r="A236" s="16" t="s">
        <v>283</v>
      </c>
      <c r="B236" s="17" t="s">
        <v>284</v>
      </c>
      <c r="C236" s="18" t="s">
        <v>51</v>
      </c>
      <c r="D236" s="18" t="s">
        <v>52</v>
      </c>
    </row>
    <row r="237" spans="1:4" x14ac:dyDescent="0.25">
      <c r="A237" s="16" t="s">
        <v>285</v>
      </c>
      <c r="B237" s="17" t="s">
        <v>286</v>
      </c>
      <c r="C237" s="18" t="s">
        <v>51</v>
      </c>
      <c r="D237" s="18" t="s">
        <v>52</v>
      </c>
    </row>
    <row r="238" spans="1:4" x14ac:dyDescent="0.25">
      <c r="A238" s="16" t="s">
        <v>287</v>
      </c>
      <c r="B238" s="17" t="s">
        <v>288</v>
      </c>
      <c r="C238" s="18" t="s">
        <v>51</v>
      </c>
      <c r="D238" s="18" t="s">
        <v>52</v>
      </c>
    </row>
    <row r="239" spans="1:4" x14ac:dyDescent="0.25">
      <c r="A239" s="16" t="s">
        <v>289</v>
      </c>
      <c r="B239" s="17" t="s">
        <v>290</v>
      </c>
      <c r="C239" s="18" t="s">
        <v>51</v>
      </c>
      <c r="D239" s="18" t="s">
        <v>52</v>
      </c>
    </row>
    <row r="240" spans="1:4" x14ac:dyDescent="0.25">
      <c r="A240" s="16" t="s">
        <v>291</v>
      </c>
      <c r="B240" s="17" t="s">
        <v>292</v>
      </c>
      <c r="C240" s="18" t="s">
        <v>51</v>
      </c>
      <c r="D240" s="18" t="s">
        <v>52</v>
      </c>
    </row>
    <row r="241" spans="1:4" x14ac:dyDescent="0.25">
      <c r="A241" s="16" t="s">
        <v>293</v>
      </c>
      <c r="B241" s="17" t="s">
        <v>294</v>
      </c>
      <c r="C241" s="18" t="s">
        <v>51</v>
      </c>
      <c r="D241" s="18" t="s">
        <v>52</v>
      </c>
    </row>
    <row r="242" spans="1:4" x14ac:dyDescent="0.25">
      <c r="A242" s="16" t="s">
        <v>295</v>
      </c>
      <c r="B242" s="17" t="s">
        <v>296</v>
      </c>
      <c r="C242" s="18" t="s">
        <v>51</v>
      </c>
      <c r="D242" s="18" t="s">
        <v>52</v>
      </c>
    </row>
    <row r="243" spans="1:4" x14ac:dyDescent="0.25">
      <c r="A243" s="16" t="s">
        <v>297</v>
      </c>
      <c r="B243" s="17" t="s">
        <v>298</v>
      </c>
      <c r="C243" s="18" t="s">
        <v>51</v>
      </c>
      <c r="D243" s="18" t="s">
        <v>52</v>
      </c>
    </row>
    <row r="244" spans="1:4" x14ac:dyDescent="0.25">
      <c r="A244" s="16" t="s">
        <v>299</v>
      </c>
      <c r="B244" s="17" t="s">
        <v>300</v>
      </c>
      <c r="C244" s="18" t="s">
        <v>51</v>
      </c>
      <c r="D244" s="18" t="s">
        <v>52</v>
      </c>
    </row>
    <row r="245" spans="1:4" x14ac:dyDescent="0.25">
      <c r="A245" s="16" t="s">
        <v>301</v>
      </c>
      <c r="B245" s="17" t="s">
        <v>302</v>
      </c>
      <c r="C245" s="18" t="s">
        <v>51</v>
      </c>
      <c r="D245" s="18" t="s">
        <v>52</v>
      </c>
    </row>
    <row r="246" spans="1:4" x14ac:dyDescent="0.25">
      <c r="A246" s="16" t="s">
        <v>46</v>
      </c>
      <c r="B246" s="17" t="s">
        <v>56</v>
      </c>
      <c r="C246" s="18" t="s">
        <v>51</v>
      </c>
      <c r="D246" s="18" t="s">
        <v>52</v>
      </c>
    </row>
    <row r="247" spans="1:4" x14ac:dyDescent="0.25">
      <c r="A247" s="16" t="s">
        <v>303</v>
      </c>
      <c r="B247" s="17" t="s">
        <v>304</v>
      </c>
      <c r="C247" s="18" t="s">
        <v>51</v>
      </c>
      <c r="D247" s="18" t="s">
        <v>52</v>
      </c>
    </row>
    <row r="248" spans="1:4" x14ac:dyDescent="0.25">
      <c r="A248" s="16" t="s">
        <v>305</v>
      </c>
      <c r="B248" s="17" t="s">
        <v>306</v>
      </c>
      <c r="C248" s="18" t="s">
        <v>51</v>
      </c>
      <c r="D248" s="18" t="s">
        <v>52</v>
      </c>
    </row>
    <row r="249" spans="1:4" x14ac:dyDescent="0.25">
      <c r="A249" s="16" t="s">
        <v>307</v>
      </c>
      <c r="B249" s="17" t="s">
        <v>308</v>
      </c>
      <c r="C249" s="18" t="s">
        <v>51</v>
      </c>
      <c r="D249" s="18" t="s">
        <v>52</v>
      </c>
    </row>
    <row r="250" spans="1:4" x14ac:dyDescent="0.25">
      <c r="A250" s="16" t="s">
        <v>309</v>
      </c>
      <c r="B250" s="17" t="s">
        <v>310</v>
      </c>
      <c r="C250" s="18" t="s">
        <v>51</v>
      </c>
      <c r="D250" s="18" t="s">
        <v>52</v>
      </c>
    </row>
    <row r="251" spans="1:4" x14ac:dyDescent="0.25">
      <c r="A251" s="16" t="s">
        <v>311</v>
      </c>
      <c r="B251" s="17" t="s">
        <v>312</v>
      </c>
      <c r="C251" s="18" t="s">
        <v>51</v>
      </c>
      <c r="D251" s="18" t="s">
        <v>52</v>
      </c>
    </row>
    <row r="252" spans="1:4" x14ac:dyDescent="0.25">
      <c r="A252" s="16" t="s">
        <v>313</v>
      </c>
      <c r="B252" s="17" t="s">
        <v>314</v>
      </c>
      <c r="C252" s="18" t="s">
        <v>51</v>
      </c>
      <c r="D252" s="18" t="s">
        <v>52</v>
      </c>
    </row>
    <row r="253" spans="1:4" x14ac:dyDescent="0.25">
      <c r="A253" s="16" t="s">
        <v>315</v>
      </c>
      <c r="B253" s="17" t="s">
        <v>316</v>
      </c>
      <c r="C253" s="18" t="s">
        <v>51</v>
      </c>
      <c r="D253" s="18" t="s">
        <v>52</v>
      </c>
    </row>
    <row r="254" spans="1:4" x14ac:dyDescent="0.25">
      <c r="A254" s="16" t="s">
        <v>317</v>
      </c>
      <c r="B254" s="17" t="s">
        <v>318</v>
      </c>
      <c r="C254" s="18" t="s">
        <v>51</v>
      </c>
      <c r="D254" s="18" t="s">
        <v>52</v>
      </c>
    </row>
    <row r="255" spans="1:4" x14ac:dyDescent="0.25">
      <c r="A255" s="16" t="s">
        <v>319</v>
      </c>
      <c r="B255" s="17" t="s">
        <v>320</v>
      </c>
      <c r="C255" s="18" t="s">
        <v>51</v>
      </c>
      <c r="D255" s="18" t="s">
        <v>52</v>
      </c>
    </row>
    <row r="256" spans="1:4" x14ac:dyDescent="0.25">
      <c r="A256" s="16" t="s">
        <v>321</v>
      </c>
      <c r="B256" s="17" t="s">
        <v>322</v>
      </c>
      <c r="C256" s="18" t="s">
        <v>51</v>
      </c>
      <c r="D256" s="18" t="s">
        <v>52</v>
      </c>
    </row>
    <row r="257" spans="1:4" x14ac:dyDescent="0.25">
      <c r="A257" s="16" t="s">
        <v>323</v>
      </c>
      <c r="B257" s="17" t="s">
        <v>324</v>
      </c>
      <c r="C257" s="18" t="s">
        <v>51</v>
      </c>
      <c r="D257" s="18" t="s">
        <v>52</v>
      </c>
    </row>
    <row r="258" spans="1:4" x14ac:dyDescent="0.25">
      <c r="A258" s="16" t="s">
        <v>325</v>
      </c>
      <c r="B258" s="17" t="s">
        <v>326</v>
      </c>
      <c r="C258" s="18" t="s">
        <v>51</v>
      </c>
      <c r="D258" s="18" t="s">
        <v>52</v>
      </c>
    </row>
    <row r="259" spans="1:4" x14ac:dyDescent="0.25">
      <c r="A259" s="16" t="s">
        <v>327</v>
      </c>
      <c r="B259" s="17" t="s">
        <v>328</v>
      </c>
      <c r="C259" s="18" t="s">
        <v>51</v>
      </c>
      <c r="D259" s="18" t="s">
        <v>52</v>
      </c>
    </row>
    <row r="260" spans="1:4" x14ac:dyDescent="0.25">
      <c r="A260" s="16" t="s">
        <v>329</v>
      </c>
      <c r="B260" s="17" t="s">
        <v>330</v>
      </c>
      <c r="C260" s="18" t="s">
        <v>51</v>
      </c>
      <c r="D260" s="18" t="s">
        <v>52</v>
      </c>
    </row>
    <row r="261" spans="1:4" x14ac:dyDescent="0.25">
      <c r="A261" s="16" t="s">
        <v>331</v>
      </c>
      <c r="B261" s="17" t="s">
        <v>332</v>
      </c>
      <c r="C261" s="18" t="s">
        <v>51</v>
      </c>
      <c r="D261" s="18" t="s">
        <v>52</v>
      </c>
    </row>
    <row r="262" spans="1:4" x14ac:dyDescent="0.25">
      <c r="A262" s="16" t="s">
        <v>333</v>
      </c>
      <c r="B262" s="17" t="s">
        <v>334</v>
      </c>
      <c r="C262" s="18" t="s">
        <v>51</v>
      </c>
      <c r="D262" s="18" t="s">
        <v>52</v>
      </c>
    </row>
    <row r="263" spans="1:4" x14ac:dyDescent="0.25">
      <c r="A263" s="16" t="s">
        <v>335</v>
      </c>
      <c r="B263" s="17" t="s">
        <v>336</v>
      </c>
      <c r="C263" s="18" t="s">
        <v>51</v>
      </c>
      <c r="D263" s="18" t="s">
        <v>52</v>
      </c>
    </row>
    <row r="264" spans="1:4" x14ac:dyDescent="0.25">
      <c r="A264" s="16" t="s">
        <v>337</v>
      </c>
      <c r="B264" s="17" t="s">
        <v>338</v>
      </c>
      <c r="C264" s="18" t="s">
        <v>51</v>
      </c>
      <c r="D264" s="18" t="s">
        <v>52</v>
      </c>
    </row>
    <row r="265" spans="1:4" x14ac:dyDescent="0.25">
      <c r="A265" s="16" t="s">
        <v>339</v>
      </c>
      <c r="B265" s="17" t="s">
        <v>340</v>
      </c>
      <c r="C265" s="18" t="s">
        <v>51</v>
      </c>
      <c r="D265" s="18" t="s">
        <v>52</v>
      </c>
    </row>
    <row r="266" spans="1:4" x14ac:dyDescent="0.25">
      <c r="A266" s="16" t="s">
        <v>341</v>
      </c>
      <c r="B266" s="17" t="s">
        <v>342</v>
      </c>
      <c r="C266" s="18" t="s">
        <v>51</v>
      </c>
      <c r="D266" s="18" t="s">
        <v>52</v>
      </c>
    </row>
    <row r="267" spans="1:4" x14ac:dyDescent="0.25">
      <c r="A267" s="16" t="s">
        <v>343</v>
      </c>
      <c r="B267" s="17" t="s">
        <v>344</v>
      </c>
      <c r="C267" s="18" t="s">
        <v>51</v>
      </c>
      <c r="D267" s="18" t="s">
        <v>52</v>
      </c>
    </row>
    <row r="268" spans="1:4" x14ac:dyDescent="0.25">
      <c r="A268" s="16" t="s">
        <v>345</v>
      </c>
      <c r="B268" s="17" t="s">
        <v>346</v>
      </c>
      <c r="C268" s="18" t="s">
        <v>51</v>
      </c>
      <c r="D268" s="18" t="s">
        <v>52</v>
      </c>
    </row>
    <row r="269" spans="1:4" x14ac:dyDescent="0.25">
      <c r="A269" s="16" t="s">
        <v>347</v>
      </c>
      <c r="B269" s="17" t="s">
        <v>348</v>
      </c>
      <c r="C269" s="18" t="s">
        <v>51</v>
      </c>
      <c r="D269" s="18" t="s">
        <v>52</v>
      </c>
    </row>
    <row r="270" spans="1:4" x14ac:dyDescent="0.25">
      <c r="A270" s="16" t="s">
        <v>349</v>
      </c>
      <c r="B270" s="17" t="s">
        <v>350</v>
      </c>
      <c r="C270" s="18" t="s">
        <v>51</v>
      </c>
      <c r="D270" s="18" t="s">
        <v>52</v>
      </c>
    </row>
    <row r="271" spans="1:4" x14ac:dyDescent="0.25">
      <c r="A271" s="16" t="s">
        <v>351</v>
      </c>
      <c r="B271" s="17" t="s">
        <v>352</v>
      </c>
      <c r="C271" s="18" t="s">
        <v>51</v>
      </c>
      <c r="D271" s="18" t="s">
        <v>52</v>
      </c>
    </row>
    <row r="272" spans="1:4" x14ac:dyDescent="0.25">
      <c r="A272" s="16" t="s">
        <v>34</v>
      </c>
      <c r="B272" s="25" t="s">
        <v>668</v>
      </c>
      <c r="C272" s="18" t="s">
        <v>51</v>
      </c>
      <c r="D272" s="18" t="s">
        <v>52</v>
      </c>
    </row>
    <row r="273" spans="1:4" x14ac:dyDescent="0.25">
      <c r="A273" s="16" t="s">
        <v>353</v>
      </c>
      <c r="B273" s="17" t="s">
        <v>354</v>
      </c>
      <c r="C273" s="18" t="s">
        <v>51</v>
      </c>
      <c r="D273" s="18" t="s">
        <v>52</v>
      </c>
    </row>
    <row r="274" spans="1:4" x14ac:dyDescent="0.25">
      <c r="A274" s="16" t="s">
        <v>355</v>
      </c>
      <c r="B274" s="17" t="s">
        <v>356</v>
      </c>
      <c r="C274" s="18" t="s">
        <v>51</v>
      </c>
      <c r="D274" s="18" t="s">
        <v>52</v>
      </c>
    </row>
    <row r="275" spans="1:4" x14ac:dyDescent="0.25">
      <c r="A275" s="16" t="s">
        <v>357</v>
      </c>
      <c r="B275" s="17" t="s">
        <v>358</v>
      </c>
      <c r="C275" s="18" t="s">
        <v>51</v>
      </c>
      <c r="D275" s="18" t="s">
        <v>52</v>
      </c>
    </row>
    <row r="276" spans="1:4" x14ac:dyDescent="0.25">
      <c r="A276" s="16" t="s">
        <v>359</v>
      </c>
      <c r="B276" s="17" t="s">
        <v>360</v>
      </c>
      <c r="C276" s="18" t="s">
        <v>51</v>
      </c>
      <c r="D276" s="18" t="s">
        <v>52</v>
      </c>
    </row>
    <row r="277" spans="1:4" x14ac:dyDescent="0.25">
      <c r="A277" s="16" t="s">
        <v>361</v>
      </c>
      <c r="B277" s="17" t="s">
        <v>362</v>
      </c>
      <c r="C277" s="18" t="s">
        <v>51</v>
      </c>
      <c r="D277" s="18" t="s">
        <v>52</v>
      </c>
    </row>
    <row r="278" spans="1:4" x14ac:dyDescent="0.25">
      <c r="A278" s="16" t="s">
        <v>363</v>
      </c>
      <c r="B278" s="17" t="s">
        <v>364</v>
      </c>
      <c r="C278" s="18" t="s">
        <v>51</v>
      </c>
      <c r="D278" s="18" t="s">
        <v>52</v>
      </c>
    </row>
    <row r="279" spans="1:4" x14ac:dyDescent="0.25">
      <c r="A279" s="16" t="s">
        <v>365</v>
      </c>
      <c r="B279" s="17" t="s">
        <v>366</v>
      </c>
      <c r="C279" s="18" t="s">
        <v>51</v>
      </c>
      <c r="D279" s="18" t="s">
        <v>52</v>
      </c>
    </row>
    <row r="280" spans="1:4" x14ac:dyDescent="0.25">
      <c r="A280" s="16" t="s">
        <v>367</v>
      </c>
      <c r="B280" s="17" t="s">
        <v>368</v>
      </c>
      <c r="C280" s="18" t="s">
        <v>51</v>
      </c>
      <c r="D280" s="18" t="s">
        <v>52</v>
      </c>
    </row>
    <row r="281" spans="1:4" x14ac:dyDescent="0.25">
      <c r="A281" s="16" t="s">
        <v>369</v>
      </c>
      <c r="B281" s="17" t="s">
        <v>370</v>
      </c>
      <c r="C281" s="18" t="s">
        <v>51</v>
      </c>
      <c r="D281" s="18" t="s">
        <v>52</v>
      </c>
    </row>
    <row r="282" spans="1:4" x14ac:dyDescent="0.25">
      <c r="A282" s="16" t="s">
        <v>371</v>
      </c>
      <c r="B282" s="17" t="s">
        <v>372</v>
      </c>
      <c r="C282" s="18" t="s">
        <v>51</v>
      </c>
      <c r="D282" s="18" t="s">
        <v>52</v>
      </c>
    </row>
    <row r="283" spans="1:4" x14ac:dyDescent="0.25">
      <c r="A283" s="16" t="s">
        <v>373</v>
      </c>
      <c r="B283" s="17" t="s">
        <v>374</v>
      </c>
      <c r="C283" s="18" t="s">
        <v>51</v>
      </c>
      <c r="D283" s="18" t="s">
        <v>52</v>
      </c>
    </row>
    <row r="284" spans="1:4" x14ac:dyDescent="0.25">
      <c r="A284" s="16" t="s">
        <v>375</v>
      </c>
      <c r="B284" s="17" t="s">
        <v>376</v>
      </c>
      <c r="C284" s="18" t="s">
        <v>51</v>
      </c>
      <c r="D284" s="18" t="s">
        <v>52</v>
      </c>
    </row>
    <row r="285" spans="1:4" x14ac:dyDescent="0.25">
      <c r="A285" s="16" t="s">
        <v>377</v>
      </c>
      <c r="B285" s="17" t="s">
        <v>378</v>
      </c>
      <c r="C285" s="18" t="s">
        <v>51</v>
      </c>
      <c r="D285" s="18" t="s">
        <v>52</v>
      </c>
    </row>
    <row r="286" spans="1:4" x14ac:dyDescent="0.25">
      <c r="A286" s="16" t="s">
        <v>379</v>
      </c>
      <c r="B286" s="17" t="s">
        <v>380</v>
      </c>
      <c r="C286" s="18" t="s">
        <v>51</v>
      </c>
      <c r="D286" s="18" t="s">
        <v>52</v>
      </c>
    </row>
    <row r="287" spans="1:4" x14ac:dyDescent="0.25">
      <c r="A287" s="16" t="s">
        <v>381</v>
      </c>
      <c r="B287" s="17" t="s">
        <v>382</v>
      </c>
      <c r="C287" s="18" t="s">
        <v>51</v>
      </c>
      <c r="D287" s="18" t="s">
        <v>52</v>
      </c>
    </row>
    <row r="288" spans="1:4" x14ac:dyDescent="0.25">
      <c r="A288" s="16" t="s">
        <v>383</v>
      </c>
      <c r="B288" s="17" t="s">
        <v>384</v>
      </c>
      <c r="C288" s="18" t="s">
        <v>51</v>
      </c>
      <c r="D288" s="18" t="s">
        <v>52</v>
      </c>
    </row>
    <row r="289" spans="1:4" x14ac:dyDescent="0.25">
      <c r="A289" s="16" t="s">
        <v>385</v>
      </c>
      <c r="B289" s="17" t="s">
        <v>386</v>
      </c>
      <c r="C289" s="18" t="s">
        <v>51</v>
      </c>
      <c r="D289" s="18" t="s">
        <v>52</v>
      </c>
    </row>
    <row r="290" spans="1:4" x14ac:dyDescent="0.25">
      <c r="A290" s="16" t="s">
        <v>387</v>
      </c>
      <c r="B290" s="17" t="s">
        <v>388</v>
      </c>
      <c r="C290" s="18" t="s">
        <v>232</v>
      </c>
      <c r="D290" s="18" t="s">
        <v>389</v>
      </c>
    </row>
    <row r="291" spans="1:4" x14ac:dyDescent="0.25">
      <c r="A291" s="16" t="s">
        <v>390</v>
      </c>
      <c r="B291" s="17" t="s">
        <v>391</v>
      </c>
      <c r="C291" s="18" t="s">
        <v>51</v>
      </c>
      <c r="D291" s="18" t="s">
        <v>52</v>
      </c>
    </row>
    <row r="292" spans="1:4" s="32" customFormat="1" x14ac:dyDescent="0.25">
      <c r="A292" s="30" t="s">
        <v>392</v>
      </c>
      <c r="B292" s="31" t="s">
        <v>393</v>
      </c>
      <c r="C292" s="32" t="s">
        <v>232</v>
      </c>
      <c r="D292" s="32" t="s">
        <v>394</v>
      </c>
    </row>
    <row r="293" spans="1:4" x14ac:dyDescent="0.25">
      <c r="A293" s="16" t="s">
        <v>395</v>
      </c>
      <c r="B293" s="17" t="s">
        <v>396</v>
      </c>
      <c r="C293" s="18" t="s">
        <v>51</v>
      </c>
      <c r="D293" s="18" t="s">
        <v>52</v>
      </c>
    </row>
    <row r="294" spans="1:4" x14ac:dyDescent="0.25">
      <c r="A294" s="16" t="s">
        <v>397</v>
      </c>
      <c r="B294" s="17" t="s">
        <v>398</v>
      </c>
      <c r="C294" s="18" t="s">
        <v>51</v>
      </c>
      <c r="D294" s="18" t="s">
        <v>52</v>
      </c>
    </row>
    <row r="295" spans="1:4" x14ac:dyDescent="0.25">
      <c r="A295" s="16" t="s">
        <v>399</v>
      </c>
      <c r="B295" s="17" t="s">
        <v>400</v>
      </c>
      <c r="C295" s="18" t="s">
        <v>51</v>
      </c>
      <c r="D295" s="18" t="s">
        <v>52</v>
      </c>
    </row>
    <row r="296" spans="1:4" x14ac:dyDescent="0.25">
      <c r="A296" s="16" t="s">
        <v>401</v>
      </c>
      <c r="B296" s="17" t="s">
        <v>402</v>
      </c>
      <c r="C296" s="18" t="s">
        <v>51</v>
      </c>
      <c r="D296" s="18" t="s">
        <v>52</v>
      </c>
    </row>
    <row r="297" spans="1:4" x14ac:dyDescent="0.25">
      <c r="A297" s="16" t="s">
        <v>403</v>
      </c>
      <c r="B297" s="17" t="s">
        <v>404</v>
      </c>
      <c r="C297" s="18" t="s">
        <v>51</v>
      </c>
      <c r="D297" s="18" t="s">
        <v>52</v>
      </c>
    </row>
    <row r="298" spans="1:4" x14ac:dyDescent="0.25">
      <c r="A298" s="16" t="s">
        <v>405</v>
      </c>
      <c r="B298" s="17" t="s">
        <v>406</v>
      </c>
      <c r="C298" s="18" t="s">
        <v>51</v>
      </c>
      <c r="D298" s="18" t="s">
        <v>52</v>
      </c>
    </row>
    <row r="299" spans="1:4" x14ac:dyDescent="0.25">
      <c r="A299" s="16" t="s">
        <v>407</v>
      </c>
      <c r="B299" s="17" t="s">
        <v>408</v>
      </c>
      <c r="C299" s="18" t="s">
        <v>51</v>
      </c>
      <c r="D299" s="18" t="s">
        <v>52</v>
      </c>
    </row>
    <row r="300" spans="1:4" x14ac:dyDescent="0.25">
      <c r="A300" s="16" t="s">
        <v>409</v>
      </c>
      <c r="B300" s="17" t="s">
        <v>410</v>
      </c>
      <c r="C300" s="18" t="s">
        <v>51</v>
      </c>
      <c r="D300" s="18" t="s">
        <v>52</v>
      </c>
    </row>
    <row r="301" spans="1:4" x14ac:dyDescent="0.25">
      <c r="A301" s="16" t="s">
        <v>411</v>
      </c>
      <c r="B301" s="17" t="s">
        <v>412</v>
      </c>
      <c r="C301" s="18" t="s">
        <v>51</v>
      </c>
      <c r="D301" s="18" t="s">
        <v>52</v>
      </c>
    </row>
    <row r="302" spans="1:4" x14ac:dyDescent="0.25">
      <c r="A302" s="16" t="s">
        <v>413</v>
      </c>
      <c r="B302" s="17" t="s">
        <v>414</v>
      </c>
      <c r="C302" s="18" t="s">
        <v>51</v>
      </c>
      <c r="D302" s="18" t="s">
        <v>52</v>
      </c>
    </row>
    <row r="303" spans="1:4" x14ac:dyDescent="0.25">
      <c r="A303" s="16" t="s">
        <v>415</v>
      </c>
      <c r="B303" s="17" t="s">
        <v>416</v>
      </c>
      <c r="C303" s="18" t="s">
        <v>51</v>
      </c>
      <c r="D303" s="18" t="s">
        <v>52</v>
      </c>
    </row>
    <row r="304" spans="1:4" x14ac:dyDescent="0.25">
      <c r="A304" s="16" t="s">
        <v>417</v>
      </c>
      <c r="B304" s="17" t="s">
        <v>418</v>
      </c>
      <c r="C304" s="18" t="s">
        <v>51</v>
      </c>
      <c r="D304" s="18" t="s">
        <v>52</v>
      </c>
    </row>
    <row r="305" spans="1:4" x14ac:dyDescent="0.25">
      <c r="A305" s="16" t="s">
        <v>419</v>
      </c>
      <c r="B305" s="17" t="s">
        <v>420</v>
      </c>
      <c r="C305" s="18" t="s">
        <v>51</v>
      </c>
      <c r="D305" s="18" t="s">
        <v>52</v>
      </c>
    </row>
    <row r="306" spans="1:4" x14ac:dyDescent="0.25">
      <c r="A306" s="16" t="s">
        <v>421</v>
      </c>
      <c r="B306" s="17" t="s">
        <v>422</v>
      </c>
      <c r="C306" s="18" t="s">
        <v>51</v>
      </c>
      <c r="D306" s="18" t="s">
        <v>52</v>
      </c>
    </row>
    <row r="307" spans="1:4" x14ac:dyDescent="0.25">
      <c r="A307" s="16" t="s">
        <v>423</v>
      </c>
      <c r="B307" s="17" t="s">
        <v>424</v>
      </c>
      <c r="C307" s="18" t="s">
        <v>51</v>
      </c>
      <c r="D307" s="18" t="s">
        <v>52</v>
      </c>
    </row>
    <row r="308" spans="1:4" x14ac:dyDescent="0.25">
      <c r="A308" s="16" t="s">
        <v>425</v>
      </c>
      <c r="B308" s="17" t="s">
        <v>426</v>
      </c>
      <c r="C308" s="18" t="s">
        <v>51</v>
      </c>
      <c r="D308" s="18" t="s">
        <v>52</v>
      </c>
    </row>
    <row r="309" spans="1:4" x14ac:dyDescent="0.25">
      <c r="A309" s="16" t="s">
        <v>427</v>
      </c>
      <c r="B309" s="17" t="s">
        <v>428</v>
      </c>
      <c r="C309" s="18" t="s">
        <v>51</v>
      </c>
      <c r="D309" s="18" t="s">
        <v>52</v>
      </c>
    </row>
    <row r="310" spans="1:4" x14ac:dyDescent="0.25">
      <c r="A310" s="16" t="s">
        <v>429</v>
      </c>
      <c r="B310" s="17" t="s">
        <v>430</v>
      </c>
      <c r="C310" s="18" t="s">
        <v>51</v>
      </c>
      <c r="D310" s="18" t="s">
        <v>52</v>
      </c>
    </row>
    <row r="311" spans="1:4" x14ac:dyDescent="0.25">
      <c r="A311" s="16" t="s">
        <v>431</v>
      </c>
      <c r="B311" s="17" t="s">
        <v>432</v>
      </c>
      <c r="C311" s="18" t="s">
        <v>51</v>
      </c>
      <c r="D311" s="18" t="s">
        <v>52</v>
      </c>
    </row>
    <row r="312" spans="1:4" x14ac:dyDescent="0.25">
      <c r="A312" s="16" t="s">
        <v>433</v>
      </c>
      <c r="B312" s="17" t="s">
        <v>434</v>
      </c>
      <c r="C312" s="18" t="s">
        <v>51</v>
      </c>
      <c r="D312" s="18" t="s">
        <v>52</v>
      </c>
    </row>
    <row r="313" spans="1:4" x14ac:dyDescent="0.25">
      <c r="A313" s="16" t="s">
        <v>435</v>
      </c>
      <c r="B313" s="17" t="s">
        <v>436</v>
      </c>
      <c r="C313" s="18" t="s">
        <v>51</v>
      </c>
      <c r="D313" s="18" t="s">
        <v>52</v>
      </c>
    </row>
    <row r="314" spans="1:4" x14ac:dyDescent="0.25">
      <c r="A314" s="16" t="s">
        <v>437</v>
      </c>
      <c r="B314" s="17" t="s">
        <v>438</v>
      </c>
      <c r="C314" s="18" t="s">
        <v>51</v>
      </c>
      <c r="D314" s="18" t="s">
        <v>52</v>
      </c>
    </row>
    <row r="315" spans="1:4" x14ac:dyDescent="0.25">
      <c r="A315" s="16" t="s">
        <v>439</v>
      </c>
      <c r="B315" s="17" t="s">
        <v>440</v>
      </c>
      <c r="C315" s="18" t="s">
        <v>51</v>
      </c>
      <c r="D315" s="18" t="s">
        <v>52</v>
      </c>
    </row>
    <row r="316" spans="1:4" x14ac:dyDescent="0.25">
      <c r="A316" s="16" t="s">
        <v>441</v>
      </c>
      <c r="B316" s="17" t="s">
        <v>442</v>
      </c>
      <c r="C316" s="18" t="s">
        <v>51</v>
      </c>
      <c r="D316" s="18" t="s">
        <v>52</v>
      </c>
    </row>
    <row r="317" spans="1:4" x14ac:dyDescent="0.25">
      <c r="A317" s="16" t="s">
        <v>443</v>
      </c>
      <c r="B317" s="17" t="s">
        <v>444</v>
      </c>
      <c r="C317" s="18" t="s">
        <v>51</v>
      </c>
      <c r="D317" s="18" t="s">
        <v>52</v>
      </c>
    </row>
    <row r="318" spans="1:4" x14ac:dyDescent="0.25">
      <c r="A318" s="16" t="s">
        <v>445</v>
      </c>
      <c r="B318" s="17" t="s">
        <v>446</v>
      </c>
      <c r="C318" s="18" t="s">
        <v>51</v>
      </c>
      <c r="D318" s="18" t="s">
        <v>52</v>
      </c>
    </row>
    <row r="319" spans="1:4" x14ac:dyDescent="0.25">
      <c r="A319" s="16" t="s">
        <v>447</v>
      </c>
      <c r="B319" s="17" t="s">
        <v>448</v>
      </c>
      <c r="C319" s="18" t="s">
        <v>51</v>
      </c>
      <c r="D319" s="18" t="s">
        <v>52</v>
      </c>
    </row>
    <row r="320" spans="1:4" x14ac:dyDescent="0.25">
      <c r="A320" s="16" t="s">
        <v>449</v>
      </c>
      <c r="B320" s="17" t="s">
        <v>450</v>
      </c>
      <c r="C320" s="18" t="s">
        <v>51</v>
      </c>
      <c r="D320" s="18" t="s">
        <v>52</v>
      </c>
    </row>
    <row r="321" spans="1:4" x14ac:dyDescent="0.25">
      <c r="A321" s="16" t="s">
        <v>451</v>
      </c>
      <c r="B321" s="17" t="s">
        <v>452</v>
      </c>
      <c r="C321" s="18" t="s">
        <v>51</v>
      </c>
      <c r="D321" s="18" t="s">
        <v>52</v>
      </c>
    </row>
    <row r="322" spans="1:4" x14ac:dyDescent="0.25">
      <c r="A322" s="16" t="s">
        <v>453</v>
      </c>
      <c r="B322" s="17" t="s">
        <v>454</v>
      </c>
      <c r="C322" s="18" t="s">
        <v>51</v>
      </c>
      <c r="D322" s="18" t="s">
        <v>52</v>
      </c>
    </row>
    <row r="323" spans="1:4" x14ac:dyDescent="0.25">
      <c r="A323" s="16" t="s">
        <v>455</v>
      </c>
      <c r="B323" s="17" t="s">
        <v>456</v>
      </c>
      <c r="C323" s="18" t="s">
        <v>51</v>
      </c>
      <c r="D323" s="18" t="s">
        <v>52</v>
      </c>
    </row>
    <row r="324" spans="1:4" x14ac:dyDescent="0.25">
      <c r="A324" s="16" t="s">
        <v>457</v>
      </c>
      <c r="B324" s="17" t="s">
        <v>458</v>
      </c>
      <c r="C324" s="18" t="s">
        <v>51</v>
      </c>
      <c r="D324" s="18" t="s">
        <v>52</v>
      </c>
    </row>
    <row r="325" spans="1:4" x14ac:dyDescent="0.25">
      <c r="A325" s="16" t="s">
        <v>459</v>
      </c>
      <c r="B325" s="17" t="s">
        <v>460</v>
      </c>
      <c r="C325" s="18" t="s">
        <v>51</v>
      </c>
      <c r="D325" s="18" t="s">
        <v>52</v>
      </c>
    </row>
    <row r="326" spans="1:4" x14ac:dyDescent="0.25">
      <c r="A326" s="16" t="s">
        <v>461</v>
      </c>
      <c r="B326" s="17" t="s">
        <v>462</v>
      </c>
      <c r="C326" s="18" t="s">
        <v>51</v>
      </c>
      <c r="D326" s="18" t="s">
        <v>52</v>
      </c>
    </row>
    <row r="327" spans="1:4" x14ac:dyDescent="0.25">
      <c r="A327" s="16" t="s">
        <v>463</v>
      </c>
      <c r="B327" s="17" t="s">
        <v>464</v>
      </c>
      <c r="C327" s="18" t="s">
        <v>51</v>
      </c>
      <c r="D327" s="18" t="s">
        <v>52</v>
      </c>
    </row>
    <row r="328" spans="1:4" x14ac:dyDescent="0.25">
      <c r="A328" s="16" t="s">
        <v>465</v>
      </c>
      <c r="B328" s="17" t="s">
        <v>466</v>
      </c>
      <c r="C328" s="18" t="s">
        <v>51</v>
      </c>
      <c r="D328" s="18" t="s">
        <v>52</v>
      </c>
    </row>
    <row r="329" spans="1:4" x14ac:dyDescent="0.25">
      <c r="A329" s="16" t="s">
        <v>467</v>
      </c>
      <c r="B329" s="17" t="s">
        <v>468</v>
      </c>
      <c r="C329" s="18" t="s">
        <v>51</v>
      </c>
      <c r="D329" s="18" t="s">
        <v>52</v>
      </c>
    </row>
    <row r="330" spans="1:4" x14ac:dyDescent="0.25">
      <c r="A330" s="16" t="s">
        <v>469</v>
      </c>
      <c r="B330" s="17">
        <v>4443715295</v>
      </c>
      <c r="C330" s="18" t="s">
        <v>51</v>
      </c>
      <c r="D330" s="18" t="s">
        <v>52</v>
      </c>
    </row>
    <row r="331" spans="1:4" x14ac:dyDescent="0.25">
      <c r="A331" s="16" t="s">
        <v>470</v>
      </c>
      <c r="B331" s="17">
        <v>4443715287</v>
      </c>
      <c r="C331" s="18" t="s">
        <v>51</v>
      </c>
      <c r="D331" s="18" t="s">
        <v>52</v>
      </c>
    </row>
    <row r="332" spans="1:4" x14ac:dyDescent="0.25">
      <c r="A332" s="16" t="s">
        <v>471</v>
      </c>
      <c r="B332" s="17" t="s">
        <v>472</v>
      </c>
      <c r="C332" s="18" t="s">
        <v>51</v>
      </c>
      <c r="D332" s="18" t="s">
        <v>52</v>
      </c>
    </row>
    <row r="333" spans="1:4" x14ac:dyDescent="0.25">
      <c r="A333" s="16" t="s">
        <v>473</v>
      </c>
      <c r="B333" s="17" t="s">
        <v>474</v>
      </c>
      <c r="C333" s="18" t="s">
        <v>51</v>
      </c>
      <c r="D333" s="18" t="s">
        <v>52</v>
      </c>
    </row>
    <row r="334" spans="1:4" x14ac:dyDescent="0.25">
      <c r="A334" s="16" t="s">
        <v>631</v>
      </c>
      <c r="B334" s="17" t="s">
        <v>475</v>
      </c>
      <c r="C334" s="18" t="s">
        <v>51</v>
      </c>
      <c r="D334" s="18" t="s">
        <v>52</v>
      </c>
    </row>
    <row r="335" spans="1:4" x14ac:dyDescent="0.25">
      <c r="A335" s="16" t="s">
        <v>30</v>
      </c>
      <c r="B335" s="17" t="s">
        <v>57</v>
      </c>
      <c r="C335" s="18" t="s">
        <v>51</v>
      </c>
      <c r="D335" s="18" t="s">
        <v>52</v>
      </c>
    </row>
    <row r="336" spans="1:4" x14ac:dyDescent="0.25">
      <c r="A336" s="16" t="s">
        <v>476</v>
      </c>
      <c r="B336" s="17" t="s">
        <v>477</v>
      </c>
      <c r="C336" s="18" t="s">
        <v>51</v>
      </c>
      <c r="D336" s="18" t="s">
        <v>52</v>
      </c>
    </row>
    <row r="337" spans="1:4" x14ac:dyDescent="0.25">
      <c r="A337" s="16" t="s">
        <v>478</v>
      </c>
      <c r="B337" s="17" t="s">
        <v>479</v>
      </c>
      <c r="C337" s="18" t="s">
        <v>51</v>
      </c>
      <c r="D337" s="18" t="s">
        <v>52</v>
      </c>
    </row>
    <row r="338" spans="1:4" x14ac:dyDescent="0.25">
      <c r="A338" s="16" t="s">
        <v>480</v>
      </c>
      <c r="B338" s="17" t="s">
        <v>481</v>
      </c>
      <c r="C338" s="18" t="s">
        <v>51</v>
      </c>
      <c r="D338" s="18" t="s">
        <v>52</v>
      </c>
    </row>
    <row r="339" spans="1:4" x14ac:dyDescent="0.25">
      <c r="A339" s="16" t="s">
        <v>482</v>
      </c>
      <c r="B339" s="17" t="s">
        <v>483</v>
      </c>
      <c r="C339" s="18" t="s">
        <v>51</v>
      </c>
      <c r="D339" s="18" t="s">
        <v>52</v>
      </c>
    </row>
    <row r="340" spans="1:4" x14ac:dyDescent="0.25">
      <c r="A340" s="16" t="s">
        <v>484</v>
      </c>
      <c r="B340" s="17">
        <v>4441010065</v>
      </c>
      <c r="C340" s="18" t="s">
        <v>51</v>
      </c>
      <c r="D340" s="18" t="s">
        <v>52</v>
      </c>
    </row>
    <row r="341" spans="1:4" x14ac:dyDescent="0.25">
      <c r="A341" s="16" t="s">
        <v>485</v>
      </c>
      <c r="B341" s="17" t="s">
        <v>486</v>
      </c>
      <c r="C341" s="18" t="s">
        <v>51</v>
      </c>
      <c r="D341" s="18" t="s">
        <v>52</v>
      </c>
    </row>
    <row r="342" spans="1:4" x14ac:dyDescent="0.25">
      <c r="A342" s="16" t="s">
        <v>487</v>
      </c>
      <c r="B342" s="17" t="s">
        <v>488</v>
      </c>
      <c r="C342" s="18" t="s">
        <v>51</v>
      </c>
      <c r="D342" s="18" t="s">
        <v>52</v>
      </c>
    </row>
    <row r="343" spans="1:4" x14ac:dyDescent="0.25">
      <c r="A343" s="16" t="s">
        <v>489</v>
      </c>
      <c r="B343" s="17" t="s">
        <v>490</v>
      </c>
      <c r="C343" s="18" t="s">
        <v>51</v>
      </c>
      <c r="D343" s="18" t="s">
        <v>52</v>
      </c>
    </row>
    <row r="344" spans="1:4" x14ac:dyDescent="0.25">
      <c r="A344" s="16" t="s">
        <v>491</v>
      </c>
      <c r="B344" s="17" t="s">
        <v>492</v>
      </c>
      <c r="C344" s="18" t="s">
        <v>51</v>
      </c>
      <c r="D344" s="18" t="s">
        <v>52</v>
      </c>
    </row>
    <row r="345" spans="1:4" x14ac:dyDescent="0.25">
      <c r="A345" s="16" t="s">
        <v>493</v>
      </c>
      <c r="B345" s="17" t="s">
        <v>494</v>
      </c>
      <c r="C345" s="18" t="s">
        <v>51</v>
      </c>
      <c r="D345" s="18" t="s">
        <v>52</v>
      </c>
    </row>
    <row r="346" spans="1:4" x14ac:dyDescent="0.25">
      <c r="A346" s="16" t="s">
        <v>495</v>
      </c>
      <c r="B346" s="17" t="s">
        <v>496</v>
      </c>
      <c r="C346" s="18" t="s">
        <v>51</v>
      </c>
      <c r="D346" s="18" t="s">
        <v>52</v>
      </c>
    </row>
    <row r="347" spans="1:4" x14ac:dyDescent="0.25">
      <c r="A347" s="16" t="s">
        <v>497</v>
      </c>
      <c r="B347" s="17" t="s">
        <v>498</v>
      </c>
      <c r="C347" s="18" t="s">
        <v>51</v>
      </c>
      <c r="D347" s="18" t="s">
        <v>52</v>
      </c>
    </row>
    <row r="348" spans="1:4" x14ac:dyDescent="0.25">
      <c r="A348" s="16" t="s">
        <v>499</v>
      </c>
      <c r="B348" s="17" t="s">
        <v>500</v>
      </c>
      <c r="C348" s="18" t="s">
        <v>51</v>
      </c>
      <c r="D348" s="18" t="s">
        <v>52</v>
      </c>
    </row>
    <row r="349" spans="1:4" x14ac:dyDescent="0.25">
      <c r="A349" s="16" t="s">
        <v>501</v>
      </c>
      <c r="B349" s="17" t="s">
        <v>502</v>
      </c>
      <c r="C349" s="18" t="s">
        <v>51</v>
      </c>
      <c r="D349" s="18" t="s">
        <v>52</v>
      </c>
    </row>
    <row r="350" spans="1:4" x14ac:dyDescent="0.25">
      <c r="A350" s="16" t="s">
        <v>503</v>
      </c>
      <c r="B350" s="17" t="s">
        <v>504</v>
      </c>
      <c r="C350" s="18" t="s">
        <v>51</v>
      </c>
      <c r="D350" s="18" t="s">
        <v>52</v>
      </c>
    </row>
    <row r="351" spans="1:4" x14ac:dyDescent="0.25">
      <c r="A351" s="16" t="s">
        <v>505</v>
      </c>
      <c r="B351" s="17" t="s">
        <v>506</v>
      </c>
      <c r="C351" s="18" t="s">
        <v>51</v>
      </c>
      <c r="D351" s="18" t="s">
        <v>52</v>
      </c>
    </row>
    <row r="352" spans="1:4" x14ac:dyDescent="0.25">
      <c r="A352" s="16" t="s">
        <v>507</v>
      </c>
      <c r="B352" s="17" t="s">
        <v>508</v>
      </c>
      <c r="C352" s="18" t="s">
        <v>51</v>
      </c>
      <c r="D352" s="18" t="s">
        <v>52</v>
      </c>
    </row>
    <row r="353" spans="1:4" x14ac:dyDescent="0.25">
      <c r="A353" s="16" t="s">
        <v>509</v>
      </c>
      <c r="B353" s="17" t="s">
        <v>510</v>
      </c>
      <c r="C353" s="18" t="s">
        <v>51</v>
      </c>
      <c r="D353" s="18" t="s">
        <v>52</v>
      </c>
    </row>
    <row r="354" spans="1:4" x14ac:dyDescent="0.25">
      <c r="A354" s="16" t="s">
        <v>511</v>
      </c>
      <c r="B354" s="17" t="s">
        <v>512</v>
      </c>
      <c r="C354" s="18" t="s">
        <v>51</v>
      </c>
      <c r="D354" s="18" t="s">
        <v>52</v>
      </c>
    </row>
    <row r="355" spans="1:4" x14ac:dyDescent="0.25">
      <c r="A355" s="16" t="s">
        <v>513</v>
      </c>
      <c r="B355" s="17" t="s">
        <v>514</v>
      </c>
      <c r="C355" s="18" t="s">
        <v>51</v>
      </c>
      <c r="D355" s="18" t="s">
        <v>52</v>
      </c>
    </row>
    <row r="356" spans="1:4" x14ac:dyDescent="0.25">
      <c r="A356" s="16" t="s">
        <v>515</v>
      </c>
      <c r="B356" s="17" t="s">
        <v>516</v>
      </c>
      <c r="C356" s="18" t="s">
        <v>51</v>
      </c>
      <c r="D356" s="18" t="s">
        <v>52</v>
      </c>
    </row>
    <row r="357" spans="1:4" x14ac:dyDescent="0.25">
      <c r="A357" s="16" t="s">
        <v>517</v>
      </c>
      <c r="B357" s="17" t="s">
        <v>518</v>
      </c>
      <c r="C357" s="18" t="s">
        <v>51</v>
      </c>
      <c r="D357" s="18" t="s">
        <v>52</v>
      </c>
    </row>
    <row r="358" spans="1:4" x14ac:dyDescent="0.25">
      <c r="A358" s="16" t="s">
        <v>519</v>
      </c>
      <c r="B358" s="17" t="s">
        <v>520</v>
      </c>
      <c r="C358" s="18" t="s">
        <v>51</v>
      </c>
      <c r="D358" s="18" t="s">
        <v>52</v>
      </c>
    </row>
    <row r="359" spans="1:4" x14ac:dyDescent="0.25">
      <c r="A359" s="16" t="s">
        <v>521</v>
      </c>
      <c r="B359" s="17" t="s">
        <v>522</v>
      </c>
      <c r="C359" s="18" t="s">
        <v>51</v>
      </c>
      <c r="D359" s="18" t="s">
        <v>52</v>
      </c>
    </row>
    <row r="360" spans="1:4" x14ac:dyDescent="0.25">
      <c r="A360" s="16" t="s">
        <v>523</v>
      </c>
      <c r="B360" s="17" t="s">
        <v>524</v>
      </c>
      <c r="C360" s="18" t="s">
        <v>51</v>
      </c>
      <c r="D360" s="18" t="s">
        <v>52</v>
      </c>
    </row>
    <row r="361" spans="1:4" x14ac:dyDescent="0.25">
      <c r="A361" s="16" t="s">
        <v>525</v>
      </c>
      <c r="B361" s="17" t="s">
        <v>526</v>
      </c>
      <c r="C361" s="18" t="s">
        <v>51</v>
      </c>
      <c r="D361" s="18" t="s">
        <v>52</v>
      </c>
    </row>
    <row r="362" spans="1:4" x14ac:dyDescent="0.25">
      <c r="A362" s="16" t="s">
        <v>527</v>
      </c>
      <c r="B362" s="17" t="s">
        <v>528</v>
      </c>
      <c r="C362" s="18" t="s">
        <v>51</v>
      </c>
      <c r="D362" s="18" t="s">
        <v>52</v>
      </c>
    </row>
    <row r="363" spans="1:4" x14ac:dyDescent="0.25">
      <c r="A363" s="16" t="s">
        <v>529</v>
      </c>
      <c r="B363" s="17" t="s">
        <v>530</v>
      </c>
      <c r="C363" s="18" t="s">
        <v>51</v>
      </c>
      <c r="D363" s="18" t="s">
        <v>52</v>
      </c>
    </row>
    <row r="364" spans="1:4" x14ac:dyDescent="0.25">
      <c r="A364" s="16" t="s">
        <v>531</v>
      </c>
      <c r="B364" s="17" t="s">
        <v>532</v>
      </c>
      <c r="C364" s="18" t="s">
        <v>51</v>
      </c>
      <c r="D364" s="18" t="s">
        <v>52</v>
      </c>
    </row>
    <row r="365" spans="1:4" x14ac:dyDescent="0.25">
      <c r="A365" s="16" t="s">
        <v>533</v>
      </c>
      <c r="B365" s="17" t="s">
        <v>534</v>
      </c>
      <c r="C365" s="18" t="s">
        <v>51</v>
      </c>
      <c r="D365" s="18" t="s">
        <v>52</v>
      </c>
    </row>
    <row r="366" spans="1:4" x14ac:dyDescent="0.25">
      <c r="A366" s="16" t="s">
        <v>535</v>
      </c>
      <c r="B366" s="17" t="s">
        <v>536</v>
      </c>
      <c r="C366" s="18" t="s">
        <v>51</v>
      </c>
      <c r="D366" s="18" t="s">
        <v>52</v>
      </c>
    </row>
    <row r="367" spans="1:4" x14ac:dyDescent="0.25">
      <c r="A367" s="16" t="s">
        <v>537</v>
      </c>
      <c r="B367" s="17" t="s">
        <v>538</v>
      </c>
      <c r="C367" s="18" t="s">
        <v>51</v>
      </c>
      <c r="D367" s="18" t="s">
        <v>52</v>
      </c>
    </row>
    <row r="368" spans="1:4" x14ac:dyDescent="0.25">
      <c r="A368" s="16" t="s">
        <v>539</v>
      </c>
      <c r="B368" s="17" t="s">
        <v>540</v>
      </c>
      <c r="C368" s="18" t="s">
        <v>51</v>
      </c>
      <c r="D368" s="18" t="s">
        <v>52</v>
      </c>
    </row>
    <row r="369" spans="1:4" x14ac:dyDescent="0.25">
      <c r="A369" s="16" t="s">
        <v>541</v>
      </c>
      <c r="B369" s="17" t="s">
        <v>542</v>
      </c>
      <c r="C369" s="18" t="s">
        <v>51</v>
      </c>
      <c r="D369" s="18" t="s">
        <v>52</v>
      </c>
    </row>
    <row r="370" spans="1:4" x14ac:dyDescent="0.25">
      <c r="A370" s="16" t="s">
        <v>543</v>
      </c>
      <c r="B370" s="17" t="s">
        <v>544</v>
      </c>
      <c r="C370" s="18" t="s">
        <v>51</v>
      </c>
      <c r="D370" s="18" t="s">
        <v>52</v>
      </c>
    </row>
    <row r="371" spans="1:4" x14ac:dyDescent="0.25">
      <c r="A371" s="16" t="s">
        <v>545</v>
      </c>
      <c r="B371" s="17" t="s">
        <v>546</v>
      </c>
      <c r="C371" s="18" t="s">
        <v>51</v>
      </c>
      <c r="D371" s="18" t="s">
        <v>52</v>
      </c>
    </row>
    <row r="372" spans="1:4" x14ac:dyDescent="0.25">
      <c r="A372" s="16" t="s">
        <v>547</v>
      </c>
      <c r="B372" s="17" t="s">
        <v>548</v>
      </c>
      <c r="C372" s="18" t="s">
        <v>51</v>
      </c>
      <c r="D372" s="18" t="s">
        <v>52</v>
      </c>
    </row>
    <row r="373" spans="1:4" x14ac:dyDescent="0.25">
      <c r="A373" s="16" t="s">
        <v>549</v>
      </c>
      <c r="B373" s="17" t="s">
        <v>550</v>
      </c>
      <c r="C373" s="18" t="s">
        <v>51</v>
      </c>
      <c r="D373" s="18" t="s">
        <v>52</v>
      </c>
    </row>
    <row r="374" spans="1:4" x14ac:dyDescent="0.25">
      <c r="A374" s="16" t="s">
        <v>551</v>
      </c>
      <c r="B374" s="17" t="s">
        <v>552</v>
      </c>
      <c r="C374" s="18" t="s">
        <v>51</v>
      </c>
      <c r="D374" s="18" t="s">
        <v>52</v>
      </c>
    </row>
    <row r="375" spans="1:4" x14ac:dyDescent="0.25">
      <c r="A375" s="16" t="s">
        <v>553</v>
      </c>
      <c r="B375" s="17" t="s">
        <v>554</v>
      </c>
      <c r="C375" s="18" t="s">
        <v>51</v>
      </c>
      <c r="D375" s="18" t="s">
        <v>52</v>
      </c>
    </row>
    <row r="376" spans="1:4" x14ac:dyDescent="0.25">
      <c r="A376" s="16" t="s">
        <v>555</v>
      </c>
      <c r="B376" s="17" t="s">
        <v>556</v>
      </c>
      <c r="C376" s="18" t="s">
        <v>51</v>
      </c>
      <c r="D376" s="18" t="s">
        <v>52</v>
      </c>
    </row>
    <row r="377" spans="1:4" x14ac:dyDescent="0.25">
      <c r="A377" s="16" t="s">
        <v>557</v>
      </c>
      <c r="B377" s="17" t="s">
        <v>558</v>
      </c>
      <c r="C377" s="18" t="s">
        <v>51</v>
      </c>
      <c r="D377" s="18" t="s">
        <v>52</v>
      </c>
    </row>
    <row r="378" spans="1:4" x14ac:dyDescent="0.25">
      <c r="A378" s="16" t="s">
        <v>559</v>
      </c>
      <c r="B378" s="17" t="s">
        <v>560</v>
      </c>
      <c r="C378" s="18" t="s">
        <v>51</v>
      </c>
      <c r="D378" s="18" t="s">
        <v>52</v>
      </c>
    </row>
    <row r="379" spans="1:4" x14ac:dyDescent="0.25">
      <c r="A379" s="16" t="s">
        <v>561</v>
      </c>
      <c r="B379" s="17">
        <v>4443716224</v>
      </c>
      <c r="C379" s="18" t="s">
        <v>51</v>
      </c>
      <c r="D379" s="18" t="s">
        <v>52</v>
      </c>
    </row>
    <row r="380" spans="1:4" x14ac:dyDescent="0.25">
      <c r="A380" s="16" t="s">
        <v>562</v>
      </c>
      <c r="B380" s="17">
        <v>4443716216</v>
      </c>
      <c r="C380" s="18" t="s">
        <v>51</v>
      </c>
      <c r="D380" s="18" t="s">
        <v>52</v>
      </c>
    </row>
    <row r="381" spans="1:4" x14ac:dyDescent="0.25">
      <c r="A381" s="16" t="s">
        <v>563</v>
      </c>
      <c r="B381" s="25" t="s">
        <v>632</v>
      </c>
      <c r="C381" s="18" t="s">
        <v>51</v>
      </c>
      <c r="D381" s="18" t="s">
        <v>52</v>
      </c>
    </row>
    <row r="382" spans="1:4" x14ac:dyDescent="0.25">
      <c r="A382" s="16" t="s">
        <v>564</v>
      </c>
      <c r="B382" s="17">
        <v>4443716208</v>
      </c>
      <c r="C382" s="18" t="s">
        <v>51</v>
      </c>
      <c r="D382" s="18" t="s">
        <v>52</v>
      </c>
    </row>
    <row r="383" spans="1:4" x14ac:dyDescent="0.25">
      <c r="A383" s="16" t="s">
        <v>565</v>
      </c>
      <c r="B383" s="17">
        <v>4443716119</v>
      </c>
      <c r="C383" s="18" t="s">
        <v>51</v>
      </c>
      <c r="D383" s="18" t="s">
        <v>52</v>
      </c>
    </row>
    <row r="384" spans="1:4" x14ac:dyDescent="0.25">
      <c r="A384" s="16" t="s">
        <v>566</v>
      </c>
      <c r="B384" s="17">
        <v>4443716178</v>
      </c>
      <c r="C384" s="18" t="s">
        <v>51</v>
      </c>
      <c r="D384" s="18" t="s">
        <v>52</v>
      </c>
    </row>
    <row r="385" spans="1:4" x14ac:dyDescent="0.25">
      <c r="A385" s="16" t="s">
        <v>567</v>
      </c>
      <c r="B385" s="17">
        <v>4443716143</v>
      </c>
      <c r="C385" s="18" t="s">
        <v>51</v>
      </c>
      <c r="D385" s="18" t="s">
        <v>52</v>
      </c>
    </row>
    <row r="386" spans="1:4" x14ac:dyDescent="0.25">
      <c r="A386" s="16" t="s">
        <v>568</v>
      </c>
      <c r="B386" s="17">
        <v>4443716186</v>
      </c>
      <c r="C386" s="18" t="s">
        <v>51</v>
      </c>
      <c r="D386" s="18" t="s">
        <v>52</v>
      </c>
    </row>
    <row r="387" spans="1:4" x14ac:dyDescent="0.25">
      <c r="A387" s="16" t="s">
        <v>569</v>
      </c>
      <c r="B387" s="17">
        <v>4443716194</v>
      </c>
      <c r="C387" s="18" t="s">
        <v>51</v>
      </c>
      <c r="D387" s="18" t="s">
        <v>52</v>
      </c>
    </row>
    <row r="388" spans="1:4" x14ac:dyDescent="0.25">
      <c r="A388" s="16" t="s">
        <v>570</v>
      </c>
      <c r="B388" s="17" t="s">
        <v>571</v>
      </c>
      <c r="C388" s="18" t="s">
        <v>51</v>
      </c>
      <c r="D388" s="18" t="s">
        <v>52</v>
      </c>
    </row>
    <row r="389" spans="1:4" x14ac:dyDescent="0.25">
      <c r="A389" s="16" t="s">
        <v>572</v>
      </c>
      <c r="B389" s="17" t="s">
        <v>573</v>
      </c>
      <c r="C389" s="18" t="s">
        <v>51</v>
      </c>
      <c r="D389" s="18" t="s">
        <v>52</v>
      </c>
    </row>
    <row r="390" spans="1:4" x14ac:dyDescent="0.25">
      <c r="A390" s="16" t="s">
        <v>574</v>
      </c>
      <c r="B390" s="17" t="s">
        <v>575</v>
      </c>
      <c r="C390" s="18" t="s">
        <v>51</v>
      </c>
      <c r="D390" s="18" t="s">
        <v>52</v>
      </c>
    </row>
    <row r="391" spans="1:4" x14ac:dyDescent="0.25">
      <c r="A391" s="16" t="s">
        <v>576</v>
      </c>
      <c r="B391" s="17" t="s">
        <v>577</v>
      </c>
      <c r="C391" s="18" t="s">
        <v>51</v>
      </c>
      <c r="D391" s="18" t="s">
        <v>52</v>
      </c>
    </row>
    <row r="392" spans="1:4" x14ac:dyDescent="0.25">
      <c r="A392" s="16" t="s">
        <v>578</v>
      </c>
      <c r="B392" s="17" t="s">
        <v>579</v>
      </c>
      <c r="C392" s="18" t="s">
        <v>51</v>
      </c>
      <c r="D392" s="18" t="s">
        <v>52</v>
      </c>
    </row>
    <row r="393" spans="1:4" x14ac:dyDescent="0.25">
      <c r="A393" s="16" t="s">
        <v>580</v>
      </c>
      <c r="B393" s="17" t="s">
        <v>581</v>
      </c>
      <c r="C393" s="18" t="s">
        <v>51</v>
      </c>
      <c r="D393" s="18" t="s">
        <v>52</v>
      </c>
    </row>
    <row r="394" spans="1:4" x14ac:dyDescent="0.25">
      <c r="A394" s="16" t="s">
        <v>582</v>
      </c>
      <c r="B394" s="17" t="s">
        <v>583</v>
      </c>
      <c r="C394" s="18" t="s">
        <v>51</v>
      </c>
      <c r="D394" s="18" t="s">
        <v>52</v>
      </c>
    </row>
    <row r="395" spans="1:4" x14ac:dyDescent="0.25">
      <c r="A395" s="16" t="s">
        <v>584</v>
      </c>
      <c r="B395" s="17" t="s">
        <v>585</v>
      </c>
      <c r="C395" s="18" t="s">
        <v>51</v>
      </c>
      <c r="D395" s="18" t="s">
        <v>52</v>
      </c>
    </row>
    <row r="396" spans="1:4" x14ac:dyDescent="0.25">
      <c r="A396" s="16" t="s">
        <v>586</v>
      </c>
      <c r="B396" s="17" t="s">
        <v>587</v>
      </c>
      <c r="C396" s="18" t="s">
        <v>51</v>
      </c>
      <c r="D396" s="18" t="s">
        <v>52</v>
      </c>
    </row>
    <row r="397" spans="1:4" x14ac:dyDescent="0.25">
      <c r="A397" s="16" t="s">
        <v>588</v>
      </c>
      <c r="B397" s="17" t="s">
        <v>589</v>
      </c>
      <c r="C397" s="18" t="s">
        <v>51</v>
      </c>
      <c r="D397" s="18" t="s">
        <v>52</v>
      </c>
    </row>
    <row r="398" spans="1:4" x14ac:dyDescent="0.25">
      <c r="A398" s="16" t="s">
        <v>590</v>
      </c>
      <c r="B398" s="17" t="s">
        <v>591</v>
      </c>
      <c r="C398" s="18" t="s">
        <v>51</v>
      </c>
      <c r="D398" s="18" t="s">
        <v>52</v>
      </c>
    </row>
    <row r="399" spans="1:4" x14ac:dyDescent="0.25">
      <c r="A399" s="16" t="s">
        <v>592</v>
      </c>
      <c r="B399" s="17" t="s">
        <v>593</v>
      </c>
      <c r="C399" s="18" t="s">
        <v>51</v>
      </c>
      <c r="D399" s="18" t="s">
        <v>52</v>
      </c>
    </row>
    <row r="400" spans="1:4" x14ac:dyDescent="0.25">
      <c r="A400" s="16" t="s">
        <v>594</v>
      </c>
      <c r="B400" s="17" t="s">
        <v>595</v>
      </c>
      <c r="C400" s="18" t="s">
        <v>51</v>
      </c>
      <c r="D400" s="18" t="s">
        <v>52</v>
      </c>
    </row>
    <row r="401" spans="1:6" x14ac:dyDescent="0.25">
      <c r="A401" s="16" t="s">
        <v>596</v>
      </c>
      <c r="B401" s="34" t="s">
        <v>669</v>
      </c>
      <c r="C401" s="18" t="s">
        <v>51</v>
      </c>
      <c r="D401" s="18" t="s">
        <v>52</v>
      </c>
      <c r="E401" s="17"/>
      <c r="F401" s="17"/>
    </row>
    <row r="402" spans="1:6" x14ac:dyDescent="0.25">
      <c r="A402" s="16" t="s">
        <v>597</v>
      </c>
      <c r="B402" s="25" t="s">
        <v>633</v>
      </c>
      <c r="C402" s="18" t="s">
        <v>232</v>
      </c>
      <c r="D402" s="18" t="s">
        <v>634</v>
      </c>
    </row>
    <row r="403" spans="1:6" x14ac:dyDescent="0.25">
      <c r="A403" s="16" t="s">
        <v>598</v>
      </c>
      <c r="B403" s="17" t="s">
        <v>599</v>
      </c>
      <c r="C403" s="18" t="s">
        <v>51</v>
      </c>
      <c r="D403" s="18" t="s">
        <v>52</v>
      </c>
    </row>
    <row r="404" spans="1:6" x14ac:dyDescent="0.25">
      <c r="A404" s="16" t="s">
        <v>600</v>
      </c>
      <c r="B404" s="17" t="s">
        <v>601</v>
      </c>
      <c r="C404" s="18" t="s">
        <v>51</v>
      </c>
      <c r="D404" s="18" t="s">
        <v>52</v>
      </c>
    </row>
    <row r="405" spans="1:6" x14ac:dyDescent="0.25">
      <c r="A405" s="16" t="s">
        <v>602</v>
      </c>
      <c r="B405" s="17" t="s">
        <v>603</v>
      </c>
      <c r="C405" s="18" t="s">
        <v>51</v>
      </c>
      <c r="D405" s="18" t="s">
        <v>52</v>
      </c>
    </row>
    <row r="406" spans="1:6" x14ac:dyDescent="0.25">
      <c r="A406" s="16" t="s">
        <v>604</v>
      </c>
      <c r="B406" s="17" t="s">
        <v>605</v>
      </c>
      <c r="C406" s="18" t="s">
        <v>51</v>
      </c>
      <c r="D406" s="18" t="s">
        <v>52</v>
      </c>
    </row>
    <row r="407" spans="1:6" x14ac:dyDescent="0.25">
      <c r="A407" s="16" t="s">
        <v>606</v>
      </c>
      <c r="B407" s="17" t="s">
        <v>607</v>
      </c>
      <c r="C407" s="18" t="s">
        <v>51</v>
      </c>
      <c r="D407" s="18" t="s">
        <v>52</v>
      </c>
    </row>
    <row r="408" spans="1:6" x14ac:dyDescent="0.25">
      <c r="A408" s="16" t="s">
        <v>608</v>
      </c>
      <c r="B408" s="17" t="s">
        <v>609</v>
      </c>
      <c r="C408" s="18" t="s">
        <v>51</v>
      </c>
      <c r="D408" s="18" t="s">
        <v>52</v>
      </c>
    </row>
    <row r="409" spans="1:6" x14ac:dyDescent="0.25">
      <c r="A409" s="16" t="s">
        <v>610</v>
      </c>
      <c r="B409" s="17" t="s">
        <v>611</v>
      </c>
      <c r="C409" s="18" t="s">
        <v>51</v>
      </c>
      <c r="D409" s="18" t="s">
        <v>52</v>
      </c>
    </row>
    <row r="410" spans="1:6" x14ac:dyDescent="0.25">
      <c r="A410" s="16" t="s">
        <v>614</v>
      </c>
      <c r="B410" s="25" t="s">
        <v>670</v>
      </c>
      <c r="C410" s="18" t="s">
        <v>51</v>
      </c>
      <c r="D410" s="18" t="s">
        <v>52</v>
      </c>
    </row>
    <row r="411" spans="1:6" x14ac:dyDescent="0.25">
      <c r="A411" s="16" t="s">
        <v>612</v>
      </c>
      <c r="B411" s="25" t="s">
        <v>635</v>
      </c>
      <c r="C411" s="18" t="s">
        <v>51</v>
      </c>
      <c r="D411" s="18" t="s">
        <v>52</v>
      </c>
    </row>
    <row r="412" spans="1:6" x14ac:dyDescent="0.25">
      <c r="A412" s="16" t="s">
        <v>636</v>
      </c>
      <c r="B412" s="25" t="s">
        <v>637</v>
      </c>
      <c r="C412" s="18" t="s">
        <v>51</v>
      </c>
      <c r="D412" s="18" t="s">
        <v>52</v>
      </c>
    </row>
    <row r="413" spans="1:6" x14ac:dyDescent="0.25">
      <c r="A413" s="16" t="s">
        <v>638</v>
      </c>
      <c r="B413" s="25" t="s">
        <v>639</v>
      </c>
      <c r="C413" s="18" t="s">
        <v>51</v>
      </c>
      <c r="D413" s="18" t="s">
        <v>52</v>
      </c>
    </row>
    <row r="414" spans="1:6" x14ac:dyDescent="0.25">
      <c r="A414" s="16" t="s">
        <v>640</v>
      </c>
      <c r="B414" s="25" t="s">
        <v>641</v>
      </c>
      <c r="C414" s="18" t="s">
        <v>51</v>
      </c>
      <c r="D414" s="18" t="s">
        <v>52</v>
      </c>
    </row>
    <row r="415" spans="1:6" x14ac:dyDescent="0.25">
      <c r="A415" s="16" t="s">
        <v>642</v>
      </c>
      <c r="B415" s="25" t="s">
        <v>643</v>
      </c>
      <c r="C415" s="18" t="s">
        <v>51</v>
      </c>
      <c r="D415" s="18" t="s">
        <v>52</v>
      </c>
    </row>
    <row r="416" spans="1:6" x14ac:dyDescent="0.25">
      <c r="A416" s="16" t="s">
        <v>644</v>
      </c>
      <c r="B416" s="25" t="s">
        <v>645</v>
      </c>
      <c r="C416" s="18" t="s">
        <v>51</v>
      </c>
      <c r="D416" s="18" t="s">
        <v>52</v>
      </c>
    </row>
    <row r="417" spans="1:4" x14ac:dyDescent="0.25">
      <c r="A417" s="16" t="s">
        <v>646</v>
      </c>
      <c r="B417" s="25" t="s">
        <v>647</v>
      </c>
      <c r="C417" s="18" t="s">
        <v>51</v>
      </c>
      <c r="D417" s="18" t="s">
        <v>52</v>
      </c>
    </row>
    <row r="418" spans="1:4" x14ac:dyDescent="0.25">
      <c r="A418" s="16" t="s">
        <v>648</v>
      </c>
      <c r="B418" s="25" t="s">
        <v>649</v>
      </c>
      <c r="C418" s="18" t="s">
        <v>51</v>
      </c>
      <c r="D418" s="18" t="s">
        <v>52</v>
      </c>
    </row>
    <row r="419" spans="1:4" x14ac:dyDescent="0.25">
      <c r="A419" s="16" t="s">
        <v>650</v>
      </c>
      <c r="B419" s="25" t="s">
        <v>651</v>
      </c>
      <c r="C419" s="18" t="s">
        <v>51</v>
      </c>
      <c r="D419" s="18" t="s">
        <v>52</v>
      </c>
    </row>
    <row r="420" spans="1:4" x14ac:dyDescent="0.25">
      <c r="A420" s="16" t="s">
        <v>652</v>
      </c>
      <c r="B420" s="25" t="s">
        <v>653</v>
      </c>
      <c r="C420" s="18" t="s">
        <v>51</v>
      </c>
      <c r="D420" s="18" t="s">
        <v>52</v>
      </c>
    </row>
    <row r="421" spans="1:4" x14ac:dyDescent="0.25">
      <c r="A421" s="16" t="s">
        <v>654</v>
      </c>
      <c r="B421" s="25" t="s">
        <v>655</v>
      </c>
      <c r="C421" s="18" t="s">
        <v>51</v>
      </c>
      <c r="D421" s="18" t="s">
        <v>52</v>
      </c>
    </row>
    <row r="422" spans="1:4" x14ac:dyDescent="0.25">
      <c r="A422" s="16" t="s">
        <v>656</v>
      </c>
      <c r="B422" s="25" t="s">
        <v>657</v>
      </c>
      <c r="C422" s="18" t="s">
        <v>51</v>
      </c>
      <c r="D422" s="18" t="s">
        <v>52</v>
      </c>
    </row>
    <row r="423" spans="1:4" x14ac:dyDescent="0.25">
      <c r="A423" s="16" t="s">
        <v>658</v>
      </c>
      <c r="B423" s="25" t="s">
        <v>659</v>
      </c>
      <c r="C423" s="18" t="s">
        <v>232</v>
      </c>
      <c r="D423" s="18" t="s">
        <v>389</v>
      </c>
    </row>
    <row r="424" spans="1:4" x14ac:dyDescent="0.25">
      <c r="A424" s="16" t="s">
        <v>660</v>
      </c>
      <c r="B424" s="25" t="s">
        <v>661</v>
      </c>
      <c r="C424" s="18" t="s">
        <v>51</v>
      </c>
      <c r="D424" s="18" t="s">
        <v>52</v>
      </c>
    </row>
    <row r="425" spans="1:4" x14ac:dyDescent="0.25">
      <c r="A425" s="16" t="s">
        <v>662</v>
      </c>
      <c r="B425" s="25" t="s">
        <v>671</v>
      </c>
      <c r="C425" s="18" t="s">
        <v>51</v>
      </c>
      <c r="D425" s="18" t="s">
        <v>52</v>
      </c>
    </row>
    <row r="426" spans="1:4" x14ac:dyDescent="0.25">
      <c r="A426" s="16" t="s">
        <v>663</v>
      </c>
      <c r="B426" s="25" t="s">
        <v>664</v>
      </c>
      <c r="C426" s="18" t="s">
        <v>51</v>
      </c>
      <c r="D426" s="18" t="s">
        <v>52</v>
      </c>
    </row>
    <row r="427" spans="1:4" x14ac:dyDescent="0.25">
      <c r="A427" s="16" t="s">
        <v>665</v>
      </c>
      <c r="B427" s="25" t="s">
        <v>672</v>
      </c>
      <c r="C427" s="18" t="s">
        <v>51</v>
      </c>
      <c r="D427" s="18" t="s">
        <v>52</v>
      </c>
    </row>
    <row r="428" spans="1:4" x14ac:dyDescent="0.25">
      <c r="A428" s="16" t="s">
        <v>674</v>
      </c>
      <c r="B428" s="25" t="s">
        <v>675</v>
      </c>
      <c r="C428" s="18" t="s">
        <v>51</v>
      </c>
      <c r="D428" s="18" t="s">
        <v>52</v>
      </c>
    </row>
    <row r="429" spans="1:4" x14ac:dyDescent="0.25">
      <c r="A429" s="16" t="s">
        <v>676</v>
      </c>
      <c r="B429" s="25" t="s">
        <v>677</v>
      </c>
      <c r="C429" s="18" t="s">
        <v>51</v>
      </c>
      <c r="D429" s="18" t="s">
        <v>52</v>
      </c>
    </row>
    <row r="430" spans="1:4" x14ac:dyDescent="0.25">
      <c r="A430" s="16" t="s">
        <v>678</v>
      </c>
      <c r="B430" s="25" t="s">
        <v>679</v>
      </c>
      <c r="C430" s="18" t="s">
        <v>51</v>
      </c>
      <c r="D430" s="18" t="s">
        <v>52</v>
      </c>
    </row>
    <row r="431" spans="1:4" x14ac:dyDescent="0.25">
      <c r="A431" s="16" t="s">
        <v>680</v>
      </c>
      <c r="B431" s="25" t="s">
        <v>681</v>
      </c>
      <c r="C431" s="18" t="s">
        <v>51</v>
      </c>
      <c r="D431" s="18" t="s">
        <v>52</v>
      </c>
    </row>
    <row r="432" spans="1:4" x14ac:dyDescent="0.25">
      <c r="A432" s="16" t="s">
        <v>680</v>
      </c>
      <c r="B432" s="25" t="s">
        <v>681</v>
      </c>
      <c r="C432" s="18" t="s">
        <v>51</v>
      </c>
      <c r="D432" s="18" t="s">
        <v>52</v>
      </c>
    </row>
    <row r="433" spans="1:4" x14ac:dyDescent="0.25">
      <c r="A433" s="16" t="s">
        <v>682</v>
      </c>
      <c r="B433" s="25" t="s">
        <v>683</v>
      </c>
      <c r="C433" s="18" t="s">
        <v>684</v>
      </c>
      <c r="D433" s="18" t="s">
        <v>685</v>
      </c>
    </row>
    <row r="434" spans="1:4" x14ac:dyDescent="0.25">
      <c r="A434" s="16" t="s">
        <v>686</v>
      </c>
      <c r="B434" s="25" t="s">
        <v>687</v>
      </c>
      <c r="C434" s="18" t="s">
        <v>238</v>
      </c>
      <c r="D434" s="18" t="s">
        <v>394</v>
      </c>
    </row>
    <row r="435" spans="1:4" x14ac:dyDescent="0.25">
      <c r="A435" s="16" t="s">
        <v>688</v>
      </c>
      <c r="B435" s="25" t="s">
        <v>689</v>
      </c>
      <c r="C435" s="18" t="s">
        <v>684</v>
      </c>
      <c r="D435" s="18" t="s">
        <v>685</v>
      </c>
    </row>
    <row r="436" spans="1:4" x14ac:dyDescent="0.25">
      <c r="A436" s="16" t="s">
        <v>690</v>
      </c>
      <c r="B436" s="25" t="s">
        <v>691</v>
      </c>
      <c r="C436" s="18" t="s">
        <v>238</v>
      </c>
      <c r="D436" s="18" t="s">
        <v>685</v>
      </c>
    </row>
    <row r="437" spans="1:4" x14ac:dyDescent="0.25">
      <c r="A437" s="16" t="s">
        <v>692</v>
      </c>
      <c r="B437" s="25" t="s">
        <v>693</v>
      </c>
      <c r="C437" s="18" t="s">
        <v>232</v>
      </c>
      <c r="D437" s="18" t="s">
        <v>685</v>
      </c>
    </row>
    <row r="438" spans="1:4" x14ac:dyDescent="0.25">
      <c r="A438" s="16" t="s">
        <v>697</v>
      </c>
      <c r="B438" s="25" t="s">
        <v>698</v>
      </c>
      <c r="C438" s="18" t="s">
        <v>238</v>
      </c>
      <c r="D438" s="18" t="s">
        <v>685</v>
      </c>
    </row>
    <row r="439" spans="1:4" x14ac:dyDescent="0.25">
      <c r="A439" s="16" t="s">
        <v>699</v>
      </c>
      <c r="B439" s="25" t="s">
        <v>700</v>
      </c>
      <c r="C439" s="18" t="s">
        <v>232</v>
      </c>
      <c r="D439" s="18" t="s">
        <v>239</v>
      </c>
    </row>
    <row r="440" spans="1:4" x14ac:dyDescent="0.25">
      <c r="A440" s="16" t="s">
        <v>701</v>
      </c>
      <c r="B440" s="25" t="s">
        <v>702</v>
      </c>
      <c r="C440" s="18" t="s">
        <v>684</v>
      </c>
      <c r="D440" s="18" t="s">
        <v>239</v>
      </c>
    </row>
    <row r="441" spans="1:4" x14ac:dyDescent="0.25">
      <c r="A441" s="16" t="s">
        <v>703</v>
      </c>
      <c r="B441" s="25" t="s">
        <v>704</v>
      </c>
      <c r="C441" s="18" t="s">
        <v>684</v>
      </c>
      <c r="D441" s="18" t="s">
        <v>239</v>
      </c>
    </row>
    <row r="442" spans="1:4" x14ac:dyDescent="0.25">
      <c r="A442" s="16" t="s">
        <v>705</v>
      </c>
      <c r="B442" s="25" t="s">
        <v>706</v>
      </c>
      <c r="C442" s="18" t="s">
        <v>707</v>
      </c>
      <c r="D442" s="18" t="s">
        <v>239</v>
      </c>
    </row>
    <row r="443" spans="1:4" x14ac:dyDescent="0.25">
      <c r="A443" s="16" t="s">
        <v>708</v>
      </c>
      <c r="B443" s="25" t="s">
        <v>709</v>
      </c>
      <c r="C443" s="18" t="s">
        <v>707</v>
      </c>
      <c r="D443" s="18" t="s">
        <v>239</v>
      </c>
    </row>
    <row r="444" spans="1:4" x14ac:dyDescent="0.25">
      <c r="A444" s="16" t="s">
        <v>712</v>
      </c>
      <c r="B444" s="25" t="s">
        <v>713</v>
      </c>
      <c r="C444" s="18" t="s">
        <v>232</v>
      </c>
      <c r="D444" s="18" t="s">
        <v>239</v>
      </c>
    </row>
    <row r="445" spans="1:4" x14ac:dyDescent="0.25">
      <c r="A445" s="16" t="s">
        <v>714</v>
      </c>
      <c r="B445" s="25" t="s">
        <v>715</v>
      </c>
      <c r="C445" s="18" t="s">
        <v>238</v>
      </c>
      <c r="D445" s="18" t="s">
        <v>239</v>
      </c>
    </row>
    <row r="446" spans="1:4" x14ac:dyDescent="0.25">
      <c r="A446" s="16" t="s">
        <v>716</v>
      </c>
      <c r="B446" s="25" t="s">
        <v>717</v>
      </c>
      <c r="C446" s="18" t="s">
        <v>232</v>
      </c>
      <c r="D446" s="18" t="s">
        <v>52</v>
      </c>
    </row>
    <row r="447" spans="1:4" x14ac:dyDescent="0.25">
      <c r="A447" s="16" t="s">
        <v>718</v>
      </c>
      <c r="B447" s="25" t="s">
        <v>719</v>
      </c>
      <c r="C447" s="18" t="s">
        <v>238</v>
      </c>
      <c r="D447" s="18" t="s">
        <v>239</v>
      </c>
    </row>
    <row r="448" spans="1:4" x14ac:dyDescent="0.25">
      <c r="A448" s="16" t="s">
        <v>720</v>
      </c>
      <c r="B448" s="25" t="s">
        <v>721</v>
      </c>
      <c r="C448" s="18" t="s">
        <v>238</v>
      </c>
      <c r="D448" s="18" t="s">
        <v>239</v>
      </c>
    </row>
    <row r="449" spans="1:4" x14ac:dyDescent="0.25">
      <c r="A449" s="16" t="s">
        <v>722</v>
      </c>
      <c r="B449" s="25" t="s">
        <v>723</v>
      </c>
      <c r="C449" s="18" t="s">
        <v>232</v>
      </c>
      <c r="D449" s="18" t="s">
        <v>239</v>
      </c>
    </row>
    <row r="450" spans="1:4" x14ac:dyDescent="0.25">
      <c r="A450" s="16" t="s">
        <v>724</v>
      </c>
      <c r="B450" s="25" t="s">
        <v>725</v>
      </c>
      <c r="C450" s="18" t="s">
        <v>726</v>
      </c>
      <c r="D450" s="18" t="s">
        <v>239</v>
      </c>
    </row>
    <row r="451" spans="1:4" x14ac:dyDescent="0.25">
      <c r="A451" s="16" t="s">
        <v>727</v>
      </c>
      <c r="B451" s="25" t="s">
        <v>728</v>
      </c>
      <c r="C451" s="18" t="s">
        <v>238</v>
      </c>
      <c r="D451" s="18" t="s">
        <v>239</v>
      </c>
    </row>
    <row r="452" spans="1:4" x14ac:dyDescent="0.25">
      <c r="A452" s="16" t="s">
        <v>729</v>
      </c>
      <c r="B452" s="25" t="s">
        <v>730</v>
      </c>
      <c r="C452" s="18" t="s">
        <v>731</v>
      </c>
      <c r="D452" s="18" t="s">
        <v>239</v>
      </c>
    </row>
    <row r="453" spans="1:4" x14ac:dyDescent="0.25">
      <c r="A453" s="16" t="s">
        <v>732</v>
      </c>
      <c r="B453" s="25" t="s">
        <v>733</v>
      </c>
      <c r="C453" s="18" t="s">
        <v>238</v>
      </c>
      <c r="D453" s="18" t="s">
        <v>239</v>
      </c>
    </row>
    <row r="454" spans="1:4" x14ac:dyDescent="0.25">
      <c r="A454" s="16" t="s">
        <v>734</v>
      </c>
      <c r="B454" s="25" t="s">
        <v>735</v>
      </c>
      <c r="C454" s="18" t="s">
        <v>232</v>
      </c>
      <c r="D454" s="18" t="s">
        <v>711</v>
      </c>
    </row>
    <row r="455" spans="1:4" x14ac:dyDescent="0.25">
      <c r="A455" s="16" t="s">
        <v>736</v>
      </c>
      <c r="B455" s="25" t="s">
        <v>737</v>
      </c>
      <c r="C455" s="18" t="s">
        <v>684</v>
      </c>
      <c r="D455" s="18" t="s">
        <v>239</v>
      </c>
    </row>
    <row r="456" spans="1:4" x14ac:dyDescent="0.25">
      <c r="A456" s="16" t="s">
        <v>738</v>
      </c>
      <c r="B456" s="25" t="s">
        <v>739</v>
      </c>
      <c r="C456" s="18" t="s">
        <v>238</v>
      </c>
      <c r="D456" s="18" t="s">
        <v>239</v>
      </c>
    </row>
    <row r="457" spans="1:4" x14ac:dyDescent="0.25">
      <c r="A457" s="16" t="s">
        <v>740</v>
      </c>
      <c r="B457" s="25" t="s">
        <v>741</v>
      </c>
      <c r="C457" s="18" t="s">
        <v>232</v>
      </c>
      <c r="D457" s="18" t="s">
        <v>239</v>
      </c>
    </row>
    <row r="458" spans="1:4" x14ac:dyDescent="0.25">
      <c r="A458" s="16" t="s">
        <v>742</v>
      </c>
      <c r="B458" s="25" t="s">
        <v>743</v>
      </c>
      <c r="C458" s="18" t="s">
        <v>232</v>
      </c>
      <c r="D458" s="18" t="s">
        <v>239</v>
      </c>
    </row>
    <row r="459" spans="1:4" x14ac:dyDescent="0.25">
      <c r="A459" s="16" t="s">
        <v>667</v>
      </c>
      <c r="B459" s="25" t="s">
        <v>673</v>
      </c>
      <c r="C459" s="18" t="s">
        <v>51</v>
      </c>
      <c r="D459" s="18" t="s">
        <v>52</v>
      </c>
    </row>
  </sheetData>
  <conditionalFormatting sqref="A198:A202">
    <cfRule type="duplicateValues" dxfId="54" priority="42"/>
  </conditionalFormatting>
  <conditionalFormatting sqref="A332">
    <cfRule type="duplicateValues" dxfId="53" priority="36"/>
    <cfRule type="duplicateValues" dxfId="52" priority="34"/>
  </conditionalFormatting>
  <conditionalFormatting sqref="A411:A427 A333:A407 A198:A331 A2:A196 A459">
    <cfRule type="duplicateValues" dxfId="51" priority="41"/>
    <cfRule type="duplicateValues" dxfId="50" priority="39"/>
  </conditionalFormatting>
  <conditionalFormatting sqref="A428:A431">
    <cfRule type="duplicateValues" dxfId="49" priority="27"/>
    <cfRule type="duplicateValues" dxfId="48" priority="29"/>
  </conditionalFormatting>
  <conditionalFormatting sqref="A432">
    <cfRule type="duplicateValues" dxfId="47" priority="25"/>
    <cfRule type="duplicateValues" dxfId="46" priority="23"/>
  </conditionalFormatting>
  <conditionalFormatting sqref="A433:A437">
    <cfRule type="duplicateValues" dxfId="45" priority="20"/>
    <cfRule type="duplicateValues" dxfId="44" priority="21"/>
  </conditionalFormatting>
  <conditionalFormatting sqref="A438:A443">
    <cfRule type="duplicateValues" dxfId="43" priority="17"/>
    <cfRule type="duplicateValues" dxfId="42" priority="18"/>
  </conditionalFormatting>
  <conditionalFormatting sqref="A444:A450">
    <cfRule type="duplicateValues" dxfId="41" priority="14"/>
    <cfRule type="duplicateValues" dxfId="40" priority="15"/>
  </conditionalFormatting>
  <conditionalFormatting sqref="A451:A453">
    <cfRule type="duplicateValues" dxfId="39" priority="11"/>
    <cfRule type="duplicateValues" dxfId="38" priority="12"/>
  </conditionalFormatting>
  <conditionalFormatting sqref="A454">
    <cfRule type="duplicateValues" dxfId="37" priority="8"/>
    <cfRule type="duplicateValues" dxfId="36" priority="9"/>
  </conditionalFormatting>
  <conditionalFormatting sqref="A455:A457">
    <cfRule type="duplicateValues" dxfId="35" priority="6"/>
    <cfRule type="duplicateValues" dxfId="34" priority="5"/>
  </conditionalFormatting>
  <conditionalFormatting sqref="A458">
    <cfRule type="duplicateValues" dxfId="33" priority="2"/>
    <cfRule type="duplicateValues" dxfId="32" priority="3"/>
  </conditionalFormatting>
  <conditionalFormatting sqref="A460:A1048576 A1">
    <cfRule type="duplicateValues" dxfId="31" priority="67"/>
    <cfRule type="duplicateValues" dxfId="30" priority="69"/>
  </conditionalFormatting>
  <conditionalFormatting sqref="B197">
    <cfRule type="duplicateValues" dxfId="29" priority="38"/>
  </conditionalFormatting>
  <conditionalFormatting sqref="B240">
    <cfRule type="duplicateValues" dxfId="28" priority="30"/>
    <cfRule type="duplicateValues" dxfId="27" priority="31"/>
  </conditionalFormatting>
  <conditionalFormatting sqref="B332">
    <cfRule type="duplicateValues" dxfId="26" priority="35"/>
  </conditionalFormatting>
  <conditionalFormatting sqref="B401">
    <cfRule type="duplicateValues" dxfId="25" priority="32"/>
    <cfRule type="duplicateValues" dxfId="24" priority="33"/>
  </conditionalFormatting>
  <conditionalFormatting sqref="B411:B427 B333:B400 B2:B239 B402:B407 B241:B331 B459">
    <cfRule type="duplicateValues" dxfId="23" priority="37"/>
  </conditionalFormatting>
  <conditionalFormatting sqref="B411:B427 B333:B400 B198:B239 B2:B196 B402:B407 B241:B331 B459">
    <cfRule type="duplicateValues" dxfId="22" priority="40"/>
  </conditionalFormatting>
  <conditionalFormatting sqref="B428:B431">
    <cfRule type="duplicateValues" dxfId="21" priority="26"/>
    <cfRule type="duplicateValues" dxfId="20" priority="28"/>
  </conditionalFormatting>
  <conditionalFormatting sqref="B432">
    <cfRule type="duplicateValues" dxfId="19" priority="22"/>
    <cfRule type="duplicateValues" dxfId="18" priority="24"/>
  </conditionalFormatting>
  <conditionalFormatting sqref="B433:B437">
    <cfRule type="duplicateValues" dxfId="17" priority="19"/>
  </conditionalFormatting>
  <conditionalFormatting sqref="B438:B443">
    <cfRule type="duplicateValues" dxfId="16" priority="16"/>
  </conditionalFormatting>
  <conditionalFormatting sqref="B444:B450">
    <cfRule type="duplicateValues" dxfId="15" priority="13"/>
  </conditionalFormatting>
  <conditionalFormatting sqref="B451:B453">
    <cfRule type="duplicateValues" dxfId="14" priority="10"/>
  </conditionalFormatting>
  <conditionalFormatting sqref="B454">
    <cfRule type="duplicateValues" dxfId="13" priority="7"/>
  </conditionalFormatting>
  <conditionalFormatting sqref="B455:B457">
    <cfRule type="duplicateValues" dxfId="12" priority="4"/>
  </conditionalFormatting>
  <conditionalFormatting sqref="B458">
    <cfRule type="duplicateValues" dxfId="11" priority="1"/>
  </conditionalFormatting>
  <conditionalFormatting sqref="B460:B1048576 B1 E401:F401">
    <cfRule type="duplicateValues" dxfId="10" priority="65"/>
    <cfRule type="duplicateValues" dxfId="9" priority="68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3AC5-9C58-4E4B-90C4-C58F345DB75E}">
  <dimension ref="A2:R42"/>
  <sheetViews>
    <sheetView zoomScale="85" zoomScaleNormal="85" workbookViewId="0">
      <pane xSplit="2" ySplit="4" topLeftCell="C5" activePane="bottomRight" state="frozen"/>
      <selection activeCell="C833" sqref="C833"/>
      <selection pane="topRight" activeCell="C833" sqref="C833"/>
      <selection pane="bottomLeft" activeCell="C833" sqref="C833"/>
      <selection pane="bottomRight" activeCell="K8" sqref="K8"/>
    </sheetView>
  </sheetViews>
  <sheetFormatPr defaultRowHeight="15" x14ac:dyDescent="0.25"/>
  <cols>
    <col min="2" max="2" width="26.28515625" customWidth="1"/>
    <col min="3" max="3" width="18" bestFit="1" customWidth="1"/>
    <col min="4" max="4" width="22.42578125" bestFit="1" customWidth="1"/>
    <col min="5" max="5" width="7.140625" style="1" customWidth="1"/>
    <col min="6" max="7" width="8.140625" style="1" customWidth="1"/>
    <col min="8" max="8" width="8.42578125" style="1" customWidth="1"/>
    <col min="9" max="9" width="8.140625" style="1" customWidth="1"/>
    <col min="10" max="10" width="16.42578125" style="15" customWidth="1"/>
    <col min="11" max="11" width="16.7109375" style="15" customWidth="1"/>
    <col min="12" max="15" width="15" style="15" customWidth="1"/>
    <col min="16" max="16" width="19" style="15" customWidth="1"/>
  </cols>
  <sheetData>
    <row r="2" spans="1:18" ht="15.75" thickBot="1" x14ac:dyDescent="0.3">
      <c r="J2" s="2"/>
      <c r="K2" s="2"/>
      <c r="L2" s="2"/>
      <c r="M2" s="2"/>
      <c r="N2" s="2"/>
      <c r="O2" s="2"/>
      <c r="P2" s="2"/>
    </row>
    <row r="3" spans="1:18" ht="20.25" customHeight="1" thickTop="1" x14ac:dyDescent="0.25">
      <c r="A3" s="141" t="s">
        <v>36</v>
      </c>
      <c r="B3" s="141" t="s">
        <v>37</v>
      </c>
      <c r="C3" s="141"/>
      <c r="D3" s="141"/>
      <c r="E3" s="141" t="s">
        <v>2</v>
      </c>
      <c r="F3" s="133" t="s">
        <v>38</v>
      </c>
      <c r="G3" s="145"/>
      <c r="H3" s="143" t="s">
        <v>39</v>
      </c>
      <c r="I3" s="144"/>
      <c r="J3" s="139" t="s">
        <v>40</v>
      </c>
      <c r="K3" s="139" t="s">
        <v>38</v>
      </c>
      <c r="L3" s="139" t="s">
        <v>39</v>
      </c>
      <c r="M3" s="139" t="s">
        <v>696</v>
      </c>
      <c r="N3" s="139" t="s">
        <v>750</v>
      </c>
      <c r="O3" s="139" t="s">
        <v>45</v>
      </c>
      <c r="P3" s="129" t="s">
        <v>41</v>
      </c>
    </row>
    <row r="4" spans="1:18" ht="15.75" thickBot="1" x14ac:dyDescent="0.3">
      <c r="A4" s="142"/>
      <c r="B4" s="142"/>
      <c r="C4" s="142"/>
      <c r="D4" s="142"/>
      <c r="E4" s="142"/>
      <c r="F4" s="3" t="s">
        <v>1</v>
      </c>
      <c r="G4" s="4" t="s">
        <v>7</v>
      </c>
      <c r="H4" s="3" t="s">
        <v>35</v>
      </c>
      <c r="I4" s="4" t="s">
        <v>3</v>
      </c>
      <c r="J4" s="140"/>
      <c r="K4" s="140"/>
      <c r="L4" s="140"/>
      <c r="M4" s="140"/>
      <c r="N4" s="140"/>
      <c r="O4" s="140"/>
      <c r="P4" s="130"/>
    </row>
    <row r="5" spans="1:18" ht="15.75" thickTop="1" x14ac:dyDescent="0.25">
      <c r="A5" s="5">
        <v>1</v>
      </c>
      <c r="B5" s="6" t="s">
        <v>10</v>
      </c>
      <c r="C5" s="6" t="s">
        <v>0</v>
      </c>
      <c r="D5" s="6" t="str">
        <f>VLOOKUP(B5,'[1]GAJI 25 JULI - 24 AGST 2022'!C$9:D$42,2,0)</f>
        <v>MANDOR SHIFT</v>
      </c>
      <c r="E5" s="5"/>
      <c r="F5" s="5"/>
      <c r="G5" s="5"/>
      <c r="H5" s="5"/>
      <c r="I5" s="5"/>
      <c r="J5" s="7">
        <f>(E5*15000)</f>
        <v>0</v>
      </c>
      <c r="K5" s="7">
        <f>(F5*IF(C5="ALL IN",50000,IF(C5="KEPALA SHIFT",52500,IF(C5="KABAG",55000))))+(G5*IF(C5="ALL IN",100000,IF(C5="KEPALA SHIFT",105000,IF(C5="KABAG",110000))))</f>
        <v>0</v>
      </c>
      <c r="L5" s="7">
        <f t="shared" ref="L5:L22" si="0">(H5*IF(C5="ALL IN",100000,IF(C5="KEPALA SHIFT",105000,IF(C5="KABAG",110000))))+(I5*IF(C5="ALL IN",200000,IF(C5="KEPALA SHIFT",210000,IF(C5="KABAG",220000))))</f>
        <v>0</v>
      </c>
      <c r="M5" s="7"/>
      <c r="N5" s="7">
        <f t="shared" ref="N5:N30" si="1">CEILING(SUM(K5:L5),100)-SUM(K5:L5)</f>
        <v>0</v>
      </c>
      <c r="O5" s="7"/>
      <c r="P5" s="7">
        <f t="shared" ref="P5:P30" si="2">SUM(J5:O5)</f>
        <v>0</v>
      </c>
      <c r="Q5" s="8"/>
      <c r="R5" s="33"/>
    </row>
    <row r="6" spans="1:18" x14ac:dyDescent="0.25">
      <c r="A6" s="9">
        <f t="shared" ref="A6:A30" si="3">A5+1</f>
        <v>2</v>
      </c>
      <c r="B6" s="10" t="s">
        <v>11</v>
      </c>
      <c r="C6" s="10" t="s">
        <v>0</v>
      </c>
      <c r="D6" s="6" t="str">
        <f>VLOOKUP(B6,'[1]GAJI 25 JULI - 24 AGST 2022'!C$9:D$42,2,0)</f>
        <v>MANDOR SHIFT</v>
      </c>
      <c r="E6" s="5"/>
      <c r="F6" s="5"/>
      <c r="G6" s="5"/>
      <c r="H6" s="5"/>
      <c r="I6" s="5"/>
      <c r="J6" s="7">
        <f t="shared" ref="J6:J22" si="4">(E6*15000)</f>
        <v>0</v>
      </c>
      <c r="K6" s="7">
        <f t="shared" ref="K6:K22" si="5">(F6*IF(C6="ALL IN",50000,IF(C6="KEPALA SHIFT",52500,IF(C6="KABAG",55000))))+(G6*IF(C6="ALL IN",100000,IF(C6="KEPALA SHIFT",105000,IF(C6="KABAG",110000))))</f>
        <v>0</v>
      </c>
      <c r="L6" s="7">
        <f t="shared" si="0"/>
        <v>0</v>
      </c>
      <c r="M6" s="7"/>
      <c r="N6" s="7">
        <f t="shared" si="1"/>
        <v>0</v>
      </c>
      <c r="O6" s="7"/>
      <c r="P6" s="7">
        <f t="shared" si="2"/>
        <v>0</v>
      </c>
      <c r="Q6" s="8"/>
      <c r="R6" s="33"/>
    </row>
    <row r="7" spans="1:18" x14ac:dyDescent="0.25">
      <c r="A7" s="9">
        <f t="shared" si="3"/>
        <v>3</v>
      </c>
      <c r="B7" s="10" t="s">
        <v>12</v>
      </c>
      <c r="C7" s="10" t="s">
        <v>0</v>
      </c>
      <c r="D7" s="6" t="str">
        <f>VLOOKUP(B7,'[1]GAJI 25 JULI - 24 AGST 2022'!C$9:D$42,2,0)</f>
        <v>MANDOR SHIFT</v>
      </c>
      <c r="E7" s="5"/>
      <c r="F7" s="5"/>
      <c r="G7" s="5"/>
      <c r="H7" s="5"/>
      <c r="I7" s="5"/>
      <c r="J7" s="7">
        <f t="shared" si="4"/>
        <v>0</v>
      </c>
      <c r="K7" s="7">
        <f>(F7*IF(C7="ALL IN",50000,IF(C7="KEPALA SHIFT",52500,IF(C7="KABAG",55000))))+(G7*IF(C7="ALL IN",100000,IF(C7="KEPALA SHIFT",105000,IF(C7="KABAG",110000))))</f>
        <v>0</v>
      </c>
      <c r="L7" s="7">
        <f t="shared" si="0"/>
        <v>0</v>
      </c>
      <c r="M7" s="7"/>
      <c r="N7" s="7">
        <f t="shared" si="1"/>
        <v>0</v>
      </c>
      <c r="O7" s="7"/>
      <c r="P7" s="7">
        <f t="shared" si="2"/>
        <v>0</v>
      </c>
      <c r="Q7" s="8"/>
      <c r="R7" s="33"/>
    </row>
    <row r="8" spans="1:18" x14ac:dyDescent="0.25">
      <c r="A8" s="9">
        <f t="shared" si="3"/>
        <v>4</v>
      </c>
      <c r="B8" s="10" t="s">
        <v>13</v>
      </c>
      <c r="C8" s="10" t="s">
        <v>0</v>
      </c>
      <c r="D8" s="6" t="str">
        <f>VLOOKUP(B8,'[1]GAJI 25 JULI - 24 AGST 2022'!C$9:D$42,2,0)</f>
        <v>MANDOR SHIFT</v>
      </c>
      <c r="E8" s="5"/>
      <c r="F8" s="5"/>
      <c r="G8" s="5"/>
      <c r="H8" s="5"/>
      <c r="I8" s="5"/>
      <c r="J8" s="7">
        <f t="shared" si="4"/>
        <v>0</v>
      </c>
      <c r="K8" s="7">
        <f t="shared" si="5"/>
        <v>0</v>
      </c>
      <c r="L8" s="7">
        <f t="shared" si="0"/>
        <v>0</v>
      </c>
      <c r="M8" s="7"/>
      <c r="N8" s="7">
        <f t="shared" si="1"/>
        <v>0</v>
      </c>
      <c r="O8" s="7"/>
      <c r="P8" s="7">
        <f t="shared" si="2"/>
        <v>0</v>
      </c>
      <c r="Q8" s="8"/>
      <c r="R8" s="33"/>
    </row>
    <row r="9" spans="1:18" x14ac:dyDescent="0.25">
      <c r="A9" s="9">
        <f t="shared" si="3"/>
        <v>5</v>
      </c>
      <c r="B9" s="10" t="s">
        <v>14</v>
      </c>
      <c r="C9" s="10" t="s">
        <v>0</v>
      </c>
      <c r="D9" s="6" t="str">
        <f>VLOOKUP(B9,'[1]GAJI 25 JULI - 24 AGST 2022'!C$9:D$42,2,0)</f>
        <v>MANDOR SHIFT</v>
      </c>
      <c r="E9" s="5"/>
      <c r="F9" s="5"/>
      <c r="G9" s="5"/>
      <c r="H9" s="5"/>
      <c r="I9" s="5"/>
      <c r="J9" s="7">
        <f t="shared" si="4"/>
        <v>0</v>
      </c>
      <c r="K9" s="7">
        <f t="shared" si="5"/>
        <v>0</v>
      </c>
      <c r="L9" s="7">
        <f t="shared" si="0"/>
        <v>0</v>
      </c>
      <c r="M9" s="7"/>
      <c r="N9" s="7">
        <f t="shared" si="1"/>
        <v>0</v>
      </c>
      <c r="O9" s="7"/>
      <c r="P9" s="7">
        <f t="shared" si="2"/>
        <v>0</v>
      </c>
      <c r="Q9" s="8"/>
      <c r="R9" s="33"/>
    </row>
    <row r="10" spans="1:18" x14ac:dyDescent="0.25">
      <c r="A10" s="9">
        <f t="shared" si="3"/>
        <v>6</v>
      </c>
      <c r="B10" s="11" t="s">
        <v>15</v>
      </c>
      <c r="C10" s="11" t="s">
        <v>0</v>
      </c>
      <c r="D10" s="6" t="str">
        <f>VLOOKUP(B10,'[1]GAJI 25 JULI - 24 AGST 2022'!C$9:D$42,2,0)</f>
        <v>MANDOR SHIFT</v>
      </c>
      <c r="E10" s="5"/>
      <c r="F10" s="5"/>
      <c r="G10" s="5"/>
      <c r="H10" s="5"/>
      <c r="I10" s="5"/>
      <c r="J10" s="7">
        <f t="shared" si="4"/>
        <v>0</v>
      </c>
      <c r="K10" s="7">
        <f t="shared" si="5"/>
        <v>0</v>
      </c>
      <c r="L10" s="7">
        <f t="shared" si="0"/>
        <v>0</v>
      </c>
      <c r="M10" s="7"/>
      <c r="N10" s="7">
        <f t="shared" si="1"/>
        <v>0</v>
      </c>
      <c r="O10" s="7"/>
      <c r="P10" s="7">
        <f t="shared" si="2"/>
        <v>0</v>
      </c>
      <c r="Q10" s="8"/>
      <c r="R10" s="33"/>
    </row>
    <row r="11" spans="1:18" x14ac:dyDescent="0.25">
      <c r="A11" s="9">
        <f t="shared" si="3"/>
        <v>7</v>
      </c>
      <c r="B11" s="11" t="s">
        <v>751</v>
      </c>
      <c r="C11" s="11" t="s">
        <v>0</v>
      </c>
      <c r="D11" s="6" t="s">
        <v>620</v>
      </c>
      <c r="E11" s="5"/>
      <c r="F11" s="5"/>
      <c r="G11" s="5"/>
      <c r="H11" s="5"/>
      <c r="I11" s="5"/>
      <c r="J11" s="7">
        <f t="shared" ref="J11" si="6">(E11*15000)</f>
        <v>0</v>
      </c>
      <c r="K11" s="7">
        <f t="shared" ref="K11" si="7">(F11*IF(C11="ALL IN",50000,IF(C11="KEPALA SHIFT",52500,IF(C11="KABAG",55000))))+(G11*IF(C11="ALL IN",100000,IF(C11="KEPALA SHIFT",105000,IF(C11="KABAG",110000))))</f>
        <v>0</v>
      </c>
      <c r="L11" s="7">
        <f t="shared" ref="L11" si="8">(H11*IF(C11="ALL IN",100000,IF(C11="KEPALA SHIFT",105000,IF(C11="KABAG",110000))))+(I11*IF(C11="ALL IN",200000,IF(C11="KEPALA SHIFT",210000,IF(C11="KABAG",220000))))</f>
        <v>0</v>
      </c>
      <c r="M11" s="7"/>
      <c r="N11" s="7">
        <f t="shared" ref="N11" si="9">CEILING(SUM(K11:L11),100)-SUM(K11:L11)</f>
        <v>0</v>
      </c>
      <c r="O11" s="7"/>
      <c r="P11" s="7">
        <f t="shared" ref="P11" si="10">SUM(J11:O11)</f>
        <v>0</v>
      </c>
      <c r="Q11" s="8"/>
      <c r="R11" s="33"/>
    </row>
    <row r="12" spans="1:18" x14ac:dyDescent="0.25">
      <c r="A12" s="9">
        <f t="shared" si="3"/>
        <v>8</v>
      </c>
      <c r="B12" s="10" t="s">
        <v>16</v>
      </c>
      <c r="C12" s="10" t="s">
        <v>6</v>
      </c>
      <c r="D12" s="6" t="str">
        <f>VLOOKUP(B12,'[1]GAJI 25 JULI - 24 AGST 2022'!C$9:D$42,2,0)</f>
        <v>MANDOR SCREEN</v>
      </c>
      <c r="E12" s="5"/>
      <c r="F12" s="5"/>
      <c r="G12" s="5"/>
      <c r="H12" s="5"/>
      <c r="I12" s="5"/>
      <c r="J12" s="7">
        <f t="shared" si="4"/>
        <v>0</v>
      </c>
      <c r="K12" s="7">
        <f t="shared" si="5"/>
        <v>0</v>
      </c>
      <c r="L12" s="7">
        <f t="shared" si="0"/>
        <v>0</v>
      </c>
      <c r="M12" s="7"/>
      <c r="N12" s="7">
        <f t="shared" si="1"/>
        <v>0</v>
      </c>
      <c r="O12" s="7"/>
      <c r="P12" s="7">
        <f t="shared" si="2"/>
        <v>0</v>
      </c>
      <c r="Q12" s="8"/>
      <c r="R12" s="33"/>
    </row>
    <row r="13" spans="1:18" x14ac:dyDescent="0.25">
      <c r="A13" s="9">
        <f t="shared" si="3"/>
        <v>9</v>
      </c>
      <c r="B13" s="12" t="s">
        <v>17</v>
      </c>
      <c r="C13" s="12" t="s">
        <v>0</v>
      </c>
      <c r="D13" s="6" t="str">
        <f>VLOOKUP(B13,'[1]GAJI 25 JULI - 24 AGST 2022'!C$9:D$42,2,0)</f>
        <v>TINTA</v>
      </c>
      <c r="E13" s="5"/>
      <c r="F13" s="5"/>
      <c r="G13" s="5"/>
      <c r="H13" s="5"/>
      <c r="I13" s="5"/>
      <c r="J13" s="7">
        <f t="shared" si="4"/>
        <v>0</v>
      </c>
      <c r="K13" s="7">
        <f t="shared" si="5"/>
        <v>0</v>
      </c>
      <c r="L13" s="7">
        <f t="shared" si="0"/>
        <v>0</v>
      </c>
      <c r="M13" s="7"/>
      <c r="N13" s="7">
        <f t="shared" si="1"/>
        <v>0</v>
      </c>
      <c r="O13" s="7"/>
      <c r="P13" s="7">
        <f t="shared" si="2"/>
        <v>0</v>
      </c>
      <c r="Q13" s="8"/>
      <c r="R13" s="33"/>
    </row>
    <row r="14" spans="1:18" x14ac:dyDescent="0.25">
      <c r="A14" s="9">
        <f t="shared" si="3"/>
        <v>10</v>
      </c>
      <c r="B14" s="10" t="s">
        <v>42</v>
      </c>
      <c r="C14" s="10" t="s">
        <v>0</v>
      </c>
      <c r="D14" s="6" t="str">
        <f>VLOOKUP(B14,'[1]GAJI 25 JULI - 24 AGST 2022'!C$9:D$42,2,0)</f>
        <v>QC PRINT</v>
      </c>
      <c r="E14" s="5"/>
      <c r="F14" s="5"/>
      <c r="G14" s="5"/>
      <c r="H14" s="5"/>
      <c r="I14" s="5"/>
      <c r="J14" s="7">
        <f t="shared" si="4"/>
        <v>0</v>
      </c>
      <c r="K14" s="7">
        <f t="shared" si="5"/>
        <v>0</v>
      </c>
      <c r="L14" s="7">
        <f t="shared" si="0"/>
        <v>0</v>
      </c>
      <c r="M14" s="7"/>
      <c r="N14" s="7">
        <f t="shared" si="1"/>
        <v>0</v>
      </c>
      <c r="O14" s="7"/>
      <c r="P14" s="7">
        <f t="shared" si="2"/>
        <v>0</v>
      </c>
      <c r="Q14" s="8"/>
      <c r="R14" s="33"/>
    </row>
    <row r="15" spans="1:18" x14ac:dyDescent="0.25">
      <c r="A15" s="9">
        <f t="shared" si="3"/>
        <v>11</v>
      </c>
      <c r="B15" s="12" t="s">
        <v>18</v>
      </c>
      <c r="C15" s="12" t="s">
        <v>0</v>
      </c>
      <c r="D15" s="6" t="str">
        <f>VLOOKUP(B15,'[1]GAJI 25 JULI - 24 AGST 2022'!C$9:D$42,2,0)</f>
        <v>QC PRINT</v>
      </c>
      <c r="E15" s="5"/>
      <c r="F15" s="5"/>
      <c r="G15" s="5"/>
      <c r="H15" s="5"/>
      <c r="I15" s="5"/>
      <c r="J15" s="7">
        <f t="shared" si="4"/>
        <v>0</v>
      </c>
      <c r="K15" s="7">
        <f t="shared" si="5"/>
        <v>0</v>
      </c>
      <c r="L15" s="7">
        <f t="shared" si="0"/>
        <v>0</v>
      </c>
      <c r="M15" s="7"/>
      <c r="N15" s="7">
        <f t="shared" si="1"/>
        <v>0</v>
      </c>
      <c r="O15" s="7"/>
      <c r="P15" s="7">
        <f t="shared" si="2"/>
        <v>0</v>
      </c>
      <c r="Q15" s="8"/>
      <c r="R15" s="33"/>
    </row>
    <row r="16" spans="1:18" x14ac:dyDescent="0.25">
      <c r="A16" s="9">
        <f t="shared" si="3"/>
        <v>12</v>
      </c>
      <c r="B16" s="10" t="s">
        <v>19</v>
      </c>
      <c r="C16" s="10" t="s">
        <v>0</v>
      </c>
      <c r="D16" s="6" t="str">
        <f>VLOOKUP(B16,'[1]GAJI 25 JULI - 24 AGST 2022'!C$9:D$42,2,0)</f>
        <v>IN-OUT</v>
      </c>
      <c r="E16" s="5"/>
      <c r="F16" s="5"/>
      <c r="G16" s="5"/>
      <c r="H16" s="5"/>
      <c r="I16" s="5"/>
      <c r="J16" s="7">
        <f t="shared" si="4"/>
        <v>0</v>
      </c>
      <c r="K16" s="7">
        <f t="shared" si="5"/>
        <v>0</v>
      </c>
      <c r="L16" s="7">
        <f t="shared" si="0"/>
        <v>0</v>
      </c>
      <c r="M16" s="7"/>
      <c r="N16" s="7">
        <f t="shared" si="1"/>
        <v>0</v>
      </c>
      <c r="O16" s="7"/>
      <c r="P16" s="7">
        <f t="shared" si="2"/>
        <v>0</v>
      </c>
      <c r="Q16" s="8"/>
      <c r="R16" s="33"/>
    </row>
    <row r="17" spans="1:18" x14ac:dyDescent="0.25">
      <c r="A17" s="9">
        <f t="shared" si="3"/>
        <v>13</v>
      </c>
      <c r="B17" s="10" t="s">
        <v>20</v>
      </c>
      <c r="C17" s="10" t="s">
        <v>0</v>
      </c>
      <c r="D17" s="6" t="str">
        <f>VLOOKUP(B17,'[1]GAJI 25 JULI - 24 AGST 2022'!C$9:D$42,2,0)</f>
        <v>ADM</v>
      </c>
      <c r="E17" s="5"/>
      <c r="F17" s="5"/>
      <c r="G17" s="5"/>
      <c r="H17" s="5"/>
      <c r="I17" s="5"/>
      <c r="J17" s="7">
        <f t="shared" si="4"/>
        <v>0</v>
      </c>
      <c r="K17" s="7">
        <f t="shared" si="5"/>
        <v>0</v>
      </c>
      <c r="L17" s="7">
        <f t="shared" si="0"/>
        <v>0</v>
      </c>
      <c r="M17" s="7"/>
      <c r="N17" s="7">
        <f t="shared" si="1"/>
        <v>0</v>
      </c>
      <c r="O17" s="7"/>
      <c r="P17" s="7">
        <f t="shared" si="2"/>
        <v>0</v>
      </c>
      <c r="Q17" s="8"/>
      <c r="R17" s="33"/>
    </row>
    <row r="18" spans="1:18" x14ac:dyDescent="0.25">
      <c r="A18" s="9">
        <f t="shared" si="3"/>
        <v>14</v>
      </c>
      <c r="B18" s="10" t="s">
        <v>21</v>
      </c>
      <c r="C18" s="10" t="s">
        <v>0</v>
      </c>
      <c r="D18" s="6" t="s">
        <v>626</v>
      </c>
      <c r="E18" s="5"/>
      <c r="F18" s="5"/>
      <c r="G18" s="5"/>
      <c r="H18" s="5"/>
      <c r="I18" s="5"/>
      <c r="J18" s="7">
        <f>(E18*15000)</f>
        <v>0</v>
      </c>
      <c r="K18" s="7">
        <f>(F18*IF(C18="ALL IN",50000,IF(C18="KEPALA SHIFT",52500)))+(G18*IF(C18="ALL IN",100000,IF(C18="KEPALA SHIFT",110000)))</f>
        <v>0</v>
      </c>
      <c r="L18" s="7">
        <f>(H18*IF(C18="ALL IN",100000,IF(C18="KEPALA SHIFT",105000)))+(I18*IF(C18="ALL IN",200000,IF(C18="KEPALA SHIFT",210000)))</f>
        <v>0</v>
      </c>
      <c r="M18" s="7"/>
      <c r="N18" s="7">
        <f t="shared" si="1"/>
        <v>0</v>
      </c>
      <c r="O18" s="7"/>
      <c r="P18" s="7">
        <f t="shared" si="2"/>
        <v>0</v>
      </c>
      <c r="Q18" s="8"/>
      <c r="R18" s="33"/>
    </row>
    <row r="19" spans="1:18" x14ac:dyDescent="0.25">
      <c r="A19" s="9">
        <f t="shared" si="3"/>
        <v>15</v>
      </c>
      <c r="B19" s="36" t="s">
        <v>24</v>
      </c>
      <c r="C19" s="36" t="s">
        <v>0</v>
      </c>
      <c r="D19" s="35" t="str">
        <f>VLOOKUP(B19,'[1]GAJI 25 JULI - 24 AGST 2022'!C$9:D$42,2,0)</f>
        <v>SAMPLE</v>
      </c>
      <c r="E19" s="37"/>
      <c r="F19" s="37"/>
      <c r="G19" s="37"/>
      <c r="H19" s="37"/>
      <c r="I19" s="37"/>
      <c r="J19" s="38">
        <f t="shared" si="4"/>
        <v>0</v>
      </c>
      <c r="K19" s="38">
        <f t="shared" si="5"/>
        <v>0</v>
      </c>
      <c r="L19" s="38">
        <f t="shared" si="0"/>
        <v>0</v>
      </c>
      <c r="M19" s="38"/>
      <c r="N19" s="38">
        <f t="shared" si="1"/>
        <v>0</v>
      </c>
      <c r="O19" s="38"/>
      <c r="P19" s="38">
        <f t="shared" si="2"/>
        <v>0</v>
      </c>
      <c r="Q19" s="8"/>
      <c r="R19" s="33"/>
    </row>
    <row r="20" spans="1:18" x14ac:dyDescent="0.25">
      <c r="A20" s="9">
        <f t="shared" si="3"/>
        <v>16</v>
      </c>
      <c r="B20" s="10" t="s">
        <v>25</v>
      </c>
      <c r="C20" s="10" t="s">
        <v>0</v>
      </c>
      <c r="D20" s="6" t="str">
        <f>VLOOKUP(B20,'[1]GAJI 25 JULI - 24 AGST 2022'!C$9:D$42,2,0)</f>
        <v>SAMPLE</v>
      </c>
      <c r="E20" s="5"/>
      <c r="F20" s="5"/>
      <c r="G20" s="5"/>
      <c r="H20" s="5"/>
      <c r="I20" s="5"/>
      <c r="J20" s="7">
        <f t="shared" si="4"/>
        <v>0</v>
      </c>
      <c r="K20" s="7">
        <f t="shared" si="5"/>
        <v>0</v>
      </c>
      <c r="L20" s="7">
        <f t="shared" si="0"/>
        <v>0</v>
      </c>
      <c r="M20" s="7"/>
      <c r="N20" s="7">
        <f t="shared" si="1"/>
        <v>0</v>
      </c>
      <c r="O20" s="7"/>
      <c r="P20" s="7">
        <f t="shared" si="2"/>
        <v>0</v>
      </c>
      <c r="Q20" s="8"/>
      <c r="R20" s="33"/>
    </row>
    <row r="21" spans="1:18" ht="15.75" customHeight="1" x14ac:dyDescent="0.25">
      <c r="A21" s="9">
        <f t="shared" si="3"/>
        <v>17</v>
      </c>
      <c r="B21" s="10" t="s">
        <v>26</v>
      </c>
      <c r="C21" s="10" t="s">
        <v>0</v>
      </c>
      <c r="D21" s="6" t="str">
        <f>VLOOKUP(B21,'[1]GAJI 25 JULI - 24 AGST 2022'!C$9:D$42,2,0)</f>
        <v>SAMPLE</v>
      </c>
      <c r="E21" s="5"/>
      <c r="F21" s="5"/>
      <c r="G21" s="5"/>
      <c r="H21" s="5"/>
      <c r="I21" s="5"/>
      <c r="J21" s="7">
        <f t="shared" si="4"/>
        <v>0</v>
      </c>
      <c r="K21" s="7">
        <f t="shared" si="5"/>
        <v>0</v>
      </c>
      <c r="L21" s="7">
        <f t="shared" si="0"/>
        <v>0</v>
      </c>
      <c r="M21" s="7"/>
      <c r="N21" s="7">
        <f t="shared" si="1"/>
        <v>0</v>
      </c>
      <c r="O21" s="7"/>
      <c r="P21" s="7">
        <f t="shared" si="2"/>
        <v>0</v>
      </c>
      <c r="Q21" s="8"/>
      <c r="R21" s="33"/>
    </row>
    <row r="22" spans="1:18" x14ac:dyDescent="0.25">
      <c r="A22" s="9">
        <f t="shared" si="3"/>
        <v>18</v>
      </c>
      <c r="B22" s="10" t="s">
        <v>27</v>
      </c>
      <c r="C22" s="10" t="s">
        <v>0</v>
      </c>
      <c r="D22" s="6" t="str">
        <f>VLOOKUP(B22,'[1]GAJI 25 JULI - 24 AGST 2022'!C$9:D$42,2,0)</f>
        <v>OPERATOR CETAK</v>
      </c>
      <c r="E22" s="5"/>
      <c r="F22" s="5"/>
      <c r="G22" s="5"/>
      <c r="H22" s="5"/>
      <c r="I22" s="5"/>
      <c r="J22" s="7">
        <f t="shared" si="4"/>
        <v>0</v>
      </c>
      <c r="K22" s="7">
        <f t="shared" si="5"/>
        <v>0</v>
      </c>
      <c r="L22" s="7">
        <f t="shared" si="0"/>
        <v>0</v>
      </c>
      <c r="M22" s="7"/>
      <c r="N22" s="7">
        <f t="shared" si="1"/>
        <v>0</v>
      </c>
      <c r="O22" s="7"/>
      <c r="P22" s="7">
        <f t="shared" si="2"/>
        <v>0</v>
      </c>
      <c r="Q22" s="8"/>
      <c r="R22" s="33"/>
    </row>
    <row r="23" spans="1:18" x14ac:dyDescent="0.25">
      <c r="A23" s="9">
        <f t="shared" si="3"/>
        <v>19</v>
      </c>
      <c r="B23" s="10" t="s">
        <v>31</v>
      </c>
      <c r="C23" s="10" t="s">
        <v>0</v>
      </c>
      <c r="D23" s="6" t="str">
        <f>VLOOKUP(B23,'[1]GAJI 25 JULI - 24 AGST 2022'!C$9:D$42,2,0)</f>
        <v>MANDOR SCREEN</v>
      </c>
      <c r="E23" s="5"/>
      <c r="F23" s="5"/>
      <c r="G23" s="5"/>
      <c r="H23" s="5"/>
      <c r="I23" s="5"/>
      <c r="J23" s="7">
        <f t="shared" ref="J23:J24" si="11">(E23*15000)</f>
        <v>0</v>
      </c>
      <c r="K23" s="7">
        <f t="shared" ref="K23:K24" si="12">(F23*IF(C23="ALL IN",50000,IF(C23="KEPALA SHIFT",52500,IF(C23="KABAG",55000))))+(G23*IF(C23="ALL IN",100000,IF(C23="KEPALA SHIFT",105000,IF(C23="KABAG",110000))))</f>
        <v>0</v>
      </c>
      <c r="L23" s="7">
        <f t="shared" ref="L23:L24" si="13">(H23*IF(C23="ALL IN",100000,IF(C23="KEPALA SHIFT",105000,IF(C23="KABAG",110000))))+(I23*IF(C23="ALL IN",200000,IF(C23="KEPALA SHIFT",210000,IF(C23="KABAG",220000))))</f>
        <v>0</v>
      </c>
      <c r="M23" s="7"/>
      <c r="N23" s="7">
        <f t="shared" si="1"/>
        <v>0</v>
      </c>
      <c r="O23" s="7"/>
      <c r="P23" s="7">
        <f t="shared" si="2"/>
        <v>0</v>
      </c>
      <c r="Q23" s="8"/>
      <c r="R23" s="33"/>
    </row>
    <row r="24" spans="1:18" x14ac:dyDescent="0.25">
      <c r="A24" s="9">
        <f t="shared" si="3"/>
        <v>20</v>
      </c>
      <c r="B24" s="10" t="s">
        <v>614</v>
      </c>
      <c r="C24" s="10" t="s">
        <v>0</v>
      </c>
      <c r="D24" s="6" t="str">
        <f>VLOOKUP(B24,'[1]GAJI 25 JULI - 24 AGST 2022'!C$9:D$42,2,0)</f>
        <v>DESIGN</v>
      </c>
      <c r="E24" s="5"/>
      <c r="F24" s="5"/>
      <c r="G24" s="5"/>
      <c r="H24" s="5"/>
      <c r="I24" s="5"/>
      <c r="J24" s="7">
        <f t="shared" si="11"/>
        <v>0</v>
      </c>
      <c r="K24" s="7">
        <f t="shared" si="12"/>
        <v>0</v>
      </c>
      <c r="L24" s="7">
        <f t="shared" si="13"/>
        <v>0</v>
      </c>
      <c r="M24" s="7"/>
      <c r="N24" s="7">
        <f t="shared" si="1"/>
        <v>0</v>
      </c>
      <c r="O24" s="7"/>
      <c r="P24" s="7">
        <f t="shared" si="2"/>
        <v>0</v>
      </c>
      <c r="Q24" s="8"/>
      <c r="R24" s="33"/>
    </row>
    <row r="25" spans="1:18" x14ac:dyDescent="0.25">
      <c r="A25" s="9">
        <f t="shared" si="3"/>
        <v>21</v>
      </c>
      <c r="B25" s="10" t="s">
        <v>325</v>
      </c>
      <c r="C25" s="10" t="s">
        <v>0</v>
      </c>
      <c r="D25" s="6" t="s">
        <v>623</v>
      </c>
      <c r="E25" s="5"/>
      <c r="F25" s="5"/>
      <c r="G25" s="5"/>
      <c r="H25" s="5"/>
      <c r="I25" s="5"/>
      <c r="J25" s="7">
        <f>(E25*15000)</f>
        <v>0</v>
      </c>
      <c r="K25" s="7">
        <f>(F25*IF(C25="ALL IN",50000,IF(C25="KEPALA SHIFT",52500)))+(G25*IF(C25="ALL IN",100000,IF(C25="KEPALA SHIFT",110000)))</f>
        <v>0</v>
      </c>
      <c r="L25" s="7">
        <f>(H25*IF(C25="ALL IN",100000,IF(C25="KEPALA SHIFT",105000)))+(I25*IF(C25="ALL IN",200000,IF(C25="KEPALA SHIFT",210000)))</f>
        <v>0</v>
      </c>
      <c r="M25" s="7"/>
      <c r="N25" s="7">
        <f t="shared" si="1"/>
        <v>0</v>
      </c>
      <c r="O25" s="7"/>
      <c r="P25" s="7">
        <f t="shared" si="2"/>
        <v>0</v>
      </c>
      <c r="Q25" s="8"/>
      <c r="R25" s="33"/>
    </row>
    <row r="26" spans="1:18" x14ac:dyDescent="0.25">
      <c r="A26" s="9">
        <f t="shared" si="3"/>
        <v>22</v>
      </c>
      <c r="B26" s="10" t="s">
        <v>613</v>
      </c>
      <c r="C26" s="10" t="s">
        <v>0</v>
      </c>
      <c r="D26" s="6" t="s">
        <v>623</v>
      </c>
      <c r="E26" s="5"/>
      <c r="F26" s="5"/>
      <c r="G26" s="5"/>
      <c r="H26" s="5"/>
      <c r="I26" s="5"/>
      <c r="J26" s="7">
        <f>(E26*15000)</f>
        <v>0</v>
      </c>
      <c r="K26" s="7">
        <f>(F26*IF(C26="ALL IN",50000,IF(C26="KEPALA SHIFT",52500)))+(G26*IF(C26="ALL IN",100000,IF(C26="KEPALA SHIFT",110000)))</f>
        <v>0</v>
      </c>
      <c r="L26" s="7">
        <f>(H26*IF(C26="ALL IN",100000,IF(C26="KEPALA SHIFT",105000)))+(I26*IF(C26="ALL IN",200000,IF(C26="KEPALA SHIFT",210000)))</f>
        <v>0</v>
      </c>
      <c r="M26" s="7"/>
      <c r="N26" s="7">
        <f t="shared" si="1"/>
        <v>0</v>
      </c>
      <c r="O26" s="7"/>
      <c r="P26" s="7">
        <f t="shared" si="2"/>
        <v>0</v>
      </c>
      <c r="Q26" s="8"/>
      <c r="R26" s="33"/>
    </row>
    <row r="27" spans="1:18" x14ac:dyDescent="0.25">
      <c r="A27" s="9">
        <f t="shared" si="3"/>
        <v>23</v>
      </c>
      <c r="B27" s="10" t="s">
        <v>752</v>
      </c>
      <c r="C27" s="10" t="s">
        <v>0</v>
      </c>
      <c r="D27" s="6" t="s">
        <v>616</v>
      </c>
      <c r="E27" s="5"/>
      <c r="F27" s="5"/>
      <c r="G27" s="5"/>
      <c r="H27" s="5"/>
      <c r="I27" s="5"/>
      <c r="J27" s="7">
        <f>(E27*15000)</f>
        <v>0</v>
      </c>
      <c r="K27" s="7">
        <f>(F27*IF(C27="ALL IN",50000,IF(C27="KEPALA SHIFT",52500)))+(G27*IF(C27="ALL IN",100000,IF(C27="KEPALA SHIFT",110000)))</f>
        <v>0</v>
      </c>
      <c r="L27" s="7">
        <f>(H27*IF(C27="ALL IN",100000,IF(C27="KEPALA SHIFT",105000)))+(I27*IF(C27="ALL IN",200000,IF(C27="KEPALA SHIFT",210000)))</f>
        <v>0</v>
      </c>
      <c r="M27" s="7"/>
      <c r="N27" s="7">
        <f t="shared" ref="N27" si="14">CEILING(SUM(K27:L27),100)-SUM(K27:L27)</f>
        <v>0</v>
      </c>
      <c r="O27" s="7"/>
      <c r="P27" s="7">
        <f t="shared" ref="P27" si="15">SUM(J27:O27)</f>
        <v>0</v>
      </c>
      <c r="Q27" s="8"/>
      <c r="R27" s="33"/>
    </row>
    <row r="28" spans="1:18" x14ac:dyDescent="0.25">
      <c r="A28" s="9">
        <f t="shared" si="3"/>
        <v>24</v>
      </c>
      <c r="B28" s="10" t="s">
        <v>65</v>
      </c>
      <c r="C28" s="10"/>
      <c r="D28" s="6" t="s">
        <v>694</v>
      </c>
      <c r="E28" s="5"/>
      <c r="F28" s="5"/>
      <c r="G28" s="5"/>
      <c r="H28" s="5"/>
      <c r="I28" s="5"/>
      <c r="J28" s="7"/>
      <c r="K28" s="7"/>
      <c r="L28" s="7"/>
      <c r="M28" s="7"/>
      <c r="N28" s="7">
        <f t="shared" si="1"/>
        <v>0</v>
      </c>
      <c r="O28" s="7"/>
      <c r="P28" s="7">
        <f t="shared" si="2"/>
        <v>0</v>
      </c>
      <c r="Q28" s="8"/>
      <c r="R28" s="33"/>
    </row>
    <row r="29" spans="1:18" x14ac:dyDescent="0.25">
      <c r="A29" s="9">
        <f t="shared" si="3"/>
        <v>25</v>
      </c>
      <c r="B29" s="10" t="s">
        <v>67</v>
      </c>
      <c r="C29" s="10"/>
      <c r="D29" s="6" t="s">
        <v>694</v>
      </c>
      <c r="E29" s="5"/>
      <c r="F29" s="5"/>
      <c r="G29" s="5"/>
      <c r="H29" s="5"/>
      <c r="I29" s="5"/>
      <c r="J29" s="7"/>
      <c r="K29" s="7"/>
      <c r="L29" s="7"/>
      <c r="M29" s="7"/>
      <c r="N29" s="7">
        <f t="shared" si="1"/>
        <v>0</v>
      </c>
      <c r="O29" s="7"/>
      <c r="P29" s="7">
        <f t="shared" si="2"/>
        <v>0</v>
      </c>
      <c r="Q29" s="8"/>
      <c r="R29" s="33"/>
    </row>
    <row r="30" spans="1:18" x14ac:dyDescent="0.25">
      <c r="A30" s="9">
        <f t="shared" si="3"/>
        <v>26</v>
      </c>
      <c r="B30" s="10" t="s">
        <v>66</v>
      </c>
      <c r="C30" s="10"/>
      <c r="D30" s="6" t="s">
        <v>694</v>
      </c>
      <c r="E30" s="5"/>
      <c r="F30" s="5"/>
      <c r="G30" s="5"/>
      <c r="H30" s="5"/>
      <c r="I30" s="5"/>
      <c r="J30" s="7"/>
      <c r="K30" s="7"/>
      <c r="L30" s="7"/>
      <c r="M30" s="7"/>
      <c r="N30" s="7">
        <f t="shared" si="1"/>
        <v>0</v>
      </c>
      <c r="O30" s="7"/>
      <c r="P30" s="7">
        <f t="shared" si="2"/>
        <v>0</v>
      </c>
      <c r="Q30" s="8"/>
      <c r="R30" s="33"/>
    </row>
    <row r="32" spans="1:18" x14ac:dyDescent="0.25">
      <c r="B32" s="13" t="s">
        <v>748</v>
      </c>
      <c r="J32" s="14">
        <f t="shared" ref="J32:O32" si="16">SUM(J5:J30)</f>
        <v>0</v>
      </c>
      <c r="K32" s="14">
        <f t="shared" si="16"/>
        <v>0</v>
      </c>
      <c r="L32" s="14">
        <f t="shared" si="16"/>
        <v>0</v>
      </c>
      <c r="M32" s="14">
        <f t="shared" si="16"/>
        <v>0</v>
      </c>
      <c r="N32" s="14">
        <f t="shared" si="16"/>
        <v>0</v>
      </c>
      <c r="O32" s="14">
        <f t="shared" si="16"/>
        <v>0</v>
      </c>
      <c r="P32" s="14">
        <f>SUM(P5:P30)</f>
        <v>0</v>
      </c>
    </row>
    <row r="34" spans="1:18" ht="15.75" thickBot="1" x14ac:dyDescent="0.3"/>
    <row r="35" spans="1:18" ht="20.25" customHeight="1" thickTop="1" x14ac:dyDescent="0.25">
      <c r="A35" s="141" t="s">
        <v>36</v>
      </c>
      <c r="B35" s="141" t="s">
        <v>37</v>
      </c>
      <c r="C35" s="141"/>
      <c r="D35" s="141"/>
      <c r="E35" s="141" t="s">
        <v>2</v>
      </c>
      <c r="F35" s="133" t="s">
        <v>744</v>
      </c>
      <c r="G35" s="134"/>
      <c r="H35" s="134"/>
      <c r="I35" s="135"/>
      <c r="J35" s="139" t="s">
        <v>40</v>
      </c>
      <c r="K35" s="139" t="s">
        <v>38</v>
      </c>
      <c r="L35" s="139" t="s">
        <v>39</v>
      </c>
      <c r="M35" s="139" t="s">
        <v>696</v>
      </c>
      <c r="N35" s="139" t="s">
        <v>750</v>
      </c>
      <c r="O35" s="139" t="s">
        <v>45</v>
      </c>
      <c r="P35" s="129" t="s">
        <v>41</v>
      </c>
    </row>
    <row r="36" spans="1:18" ht="15.75" thickBot="1" x14ac:dyDescent="0.3">
      <c r="A36" s="142"/>
      <c r="B36" s="142"/>
      <c r="C36" s="142"/>
      <c r="D36" s="142"/>
      <c r="E36" s="142"/>
      <c r="F36" s="136" t="s">
        <v>745</v>
      </c>
      <c r="G36" s="137"/>
      <c r="H36" s="136" t="s">
        <v>710</v>
      </c>
      <c r="I36" s="138"/>
      <c r="J36" s="140"/>
      <c r="K36" s="140"/>
      <c r="L36" s="140"/>
      <c r="M36" s="140"/>
      <c r="N36" s="140"/>
      <c r="O36" s="140"/>
      <c r="P36" s="130"/>
    </row>
    <row r="37" spans="1:18" ht="15.75" thickTop="1" x14ac:dyDescent="0.25">
      <c r="A37" s="39">
        <f>A30+1</f>
        <v>27</v>
      </c>
      <c r="B37" s="40" t="s">
        <v>30</v>
      </c>
      <c r="C37" s="40" t="s">
        <v>0</v>
      </c>
      <c r="D37" s="41" t="str">
        <f>VLOOKUP(B37,'[1]GAJI 25 JULI - 24 AGST 2022'!C$9:D$42,2,0)</f>
        <v>UMUM</v>
      </c>
      <c r="E37" s="42"/>
      <c r="F37" s="131"/>
      <c r="G37" s="132"/>
      <c r="H37" s="131"/>
      <c r="I37" s="132"/>
      <c r="J37" s="43">
        <f>(E37*15000)</f>
        <v>0</v>
      </c>
      <c r="K37" s="43">
        <f>(F37*(100000/7))</f>
        <v>0</v>
      </c>
      <c r="L37" s="43">
        <f>(H37*(200000/7))</f>
        <v>0</v>
      </c>
      <c r="M37" s="43"/>
      <c r="N37" s="43">
        <f>CEILING(SUM(K37:L37),100)-SUM(K37:L37)</f>
        <v>0</v>
      </c>
      <c r="O37" s="43"/>
      <c r="P37" s="43">
        <f>SUM(J37:O37)</f>
        <v>0</v>
      </c>
      <c r="Q37" s="8"/>
      <c r="R37" s="33"/>
    </row>
    <row r="39" spans="1:18" x14ac:dyDescent="0.25">
      <c r="B39" s="13" t="s">
        <v>747</v>
      </c>
      <c r="J39" s="14">
        <f>SUM(J37)</f>
        <v>0</v>
      </c>
      <c r="K39" s="14">
        <f t="shared" ref="K39:P39" si="17">SUM(K37)</f>
        <v>0</v>
      </c>
      <c r="L39" s="14">
        <f t="shared" si="17"/>
        <v>0</v>
      </c>
      <c r="M39" s="14">
        <f t="shared" si="17"/>
        <v>0</v>
      </c>
      <c r="N39" s="14">
        <f t="shared" ref="N39" si="18">SUM(N37)</f>
        <v>0</v>
      </c>
      <c r="O39" s="14">
        <f t="shared" si="17"/>
        <v>0</v>
      </c>
      <c r="P39" s="14">
        <f t="shared" si="17"/>
        <v>0</v>
      </c>
    </row>
    <row r="42" spans="1:18" x14ac:dyDescent="0.25">
      <c r="B42" s="13" t="s">
        <v>749</v>
      </c>
      <c r="J42" s="14">
        <f>SUM(J39,J32)</f>
        <v>0</v>
      </c>
      <c r="K42" s="14">
        <f t="shared" ref="K42:O42" si="19">SUM(K39,K32)</f>
        <v>0</v>
      </c>
      <c r="L42" s="14">
        <f t="shared" si="19"/>
        <v>0</v>
      </c>
      <c r="M42" s="14">
        <f t="shared" si="19"/>
        <v>0</v>
      </c>
      <c r="N42" s="14">
        <f t="shared" ref="N42" si="20">SUM(N39,N32)</f>
        <v>0</v>
      </c>
      <c r="O42" s="14">
        <f t="shared" si="19"/>
        <v>0</v>
      </c>
      <c r="P42" s="14">
        <f>SUM(P39,P32)</f>
        <v>0</v>
      </c>
    </row>
  </sheetData>
  <autoFilter ref="P2:P32" xr:uid="{83B63AC5-9C58-4E4B-90C4-C58F345DB75E}"/>
  <mergeCells count="31">
    <mergeCell ref="H3:I3"/>
    <mergeCell ref="D3:D4"/>
    <mergeCell ref="A3:A4"/>
    <mergeCell ref="B3:B4"/>
    <mergeCell ref="C3:C4"/>
    <mergeCell ref="E3:E4"/>
    <mergeCell ref="F3:G3"/>
    <mergeCell ref="O3:O4"/>
    <mergeCell ref="J3:J4"/>
    <mergeCell ref="K3:K4"/>
    <mergeCell ref="L3:L4"/>
    <mergeCell ref="P3:P4"/>
    <mergeCell ref="M3:M4"/>
    <mergeCell ref="N3:N4"/>
    <mergeCell ref="A35:A36"/>
    <mergeCell ref="B35:B36"/>
    <mergeCell ref="C35:C36"/>
    <mergeCell ref="D35:D36"/>
    <mergeCell ref="E35:E36"/>
    <mergeCell ref="P35:P36"/>
    <mergeCell ref="F37:G37"/>
    <mergeCell ref="H37:I37"/>
    <mergeCell ref="F35:I35"/>
    <mergeCell ref="F36:G36"/>
    <mergeCell ref="H36:I36"/>
    <mergeCell ref="J35:J36"/>
    <mergeCell ref="K35:K36"/>
    <mergeCell ref="L35:L36"/>
    <mergeCell ref="M35:M36"/>
    <mergeCell ref="O35:O36"/>
    <mergeCell ref="N35:N36"/>
  </mergeCells>
  <conditionalFormatting sqref="B11">
    <cfRule type="duplicateValues" dxfId="8" priority="2"/>
  </conditionalFormatting>
  <conditionalFormatting sqref="B28 B3 B5:B10 B19:B24 B37 B12:B17">
    <cfRule type="duplicateValues" dxfId="7" priority="48"/>
  </conditionalFormatting>
  <conditionalFormatting sqref="B29:B30 B18">
    <cfRule type="duplicateValues" dxfId="6" priority="60"/>
  </conditionalFormatting>
  <conditionalFormatting sqref="B32">
    <cfRule type="duplicateValues" dxfId="5" priority="9"/>
  </conditionalFormatting>
  <conditionalFormatting sqref="B35">
    <cfRule type="duplicateValues" dxfId="4" priority="5"/>
  </conditionalFormatting>
  <conditionalFormatting sqref="B39">
    <cfRule type="duplicateValues" dxfId="3" priority="4"/>
  </conditionalFormatting>
  <conditionalFormatting sqref="B42">
    <cfRule type="duplicateValues" dxfId="2" priority="3"/>
  </conditionalFormatting>
  <conditionalFormatting sqref="B25:B26">
    <cfRule type="duplicateValues" dxfId="1" priority="5347"/>
  </conditionalFormatting>
  <conditionalFormatting sqref="B27">
    <cfRule type="duplicateValues" dxfId="0" priority="1"/>
  </conditionalFormatting>
  <printOptions horizontalCentered="1"/>
  <pageMargins left="0.27559055118110237" right="0.27559055118110237" top="0.74803149606299213" bottom="0.74803149606299213" header="0.31496062992125984" footer="0.31496062992125984"/>
  <pageSetup paperSize="8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5B06-DF7D-4BFF-B4B3-1D1526746416}">
  <dimension ref="A1:X135"/>
  <sheetViews>
    <sheetView tabSelected="1" topLeftCell="A3" zoomScale="85" zoomScaleNormal="85" workbookViewId="0">
      <pane xSplit="2" ySplit="7" topLeftCell="H34" activePane="bottomRight" state="frozen"/>
      <selection activeCell="A3" sqref="A3"/>
      <selection pane="topRight" activeCell="C3" sqref="C3"/>
      <selection pane="bottomLeft" activeCell="A10" sqref="A10"/>
      <selection pane="bottomRight" activeCell="M6" sqref="M6"/>
    </sheetView>
  </sheetViews>
  <sheetFormatPr defaultRowHeight="15" x14ac:dyDescent="0.25"/>
  <cols>
    <col min="1" max="1" width="6.140625" customWidth="1"/>
    <col min="2" max="2" width="22.140625" customWidth="1"/>
    <col min="3" max="4" width="10" customWidth="1"/>
    <col min="5" max="5" width="4.85546875" customWidth="1"/>
    <col min="6" max="6" width="16.42578125" customWidth="1"/>
    <col min="7" max="8" width="11.85546875" customWidth="1"/>
    <col min="9" max="9" width="12.7109375" customWidth="1"/>
    <col min="10" max="10" width="13.28515625" customWidth="1"/>
    <col min="11" max="11" width="14.7109375" customWidth="1"/>
    <col min="12" max="12" width="13.42578125" customWidth="1"/>
    <col min="13" max="13" width="15" customWidth="1"/>
    <col min="14" max="15" width="15" style="47" customWidth="1"/>
    <col min="16" max="16" width="15" customWidth="1"/>
    <col min="17" max="17" width="13.42578125" customWidth="1"/>
    <col min="18" max="18" width="13.85546875" customWidth="1"/>
    <col min="19" max="20" width="11.85546875" customWidth="1"/>
    <col min="21" max="21" width="15" customWidth="1"/>
    <col min="22" max="22" width="17" style="44" bestFit="1" customWidth="1"/>
  </cols>
  <sheetData>
    <row r="1" spans="1:24" ht="36.75" customHeight="1" x14ac:dyDescent="0.25">
      <c r="A1" s="189" t="s">
        <v>47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</row>
    <row r="2" spans="1:24" x14ac:dyDescent="0.25">
      <c r="A2" s="45"/>
      <c r="B2" s="45"/>
      <c r="C2" s="190"/>
      <c r="D2" s="190"/>
      <c r="E2" s="190"/>
      <c r="F2" s="190"/>
      <c r="G2" s="46"/>
    </row>
    <row r="4" spans="1:24" s="53" customFormat="1" x14ac:dyDescent="0.25">
      <c r="A4" s="191" t="s">
        <v>753</v>
      </c>
      <c r="B4" s="191"/>
      <c r="C4" s="191"/>
      <c r="D4" s="191"/>
      <c r="E4" s="191"/>
      <c r="F4" s="191"/>
      <c r="G4" s="191"/>
      <c r="H4" s="48"/>
      <c r="I4" s="48"/>
      <c r="J4" s="48"/>
      <c r="K4" s="48"/>
      <c r="L4" s="48"/>
      <c r="M4" s="48"/>
      <c r="N4" s="49"/>
      <c r="O4" s="49"/>
      <c r="P4" s="48"/>
      <c r="Q4" s="48"/>
      <c r="R4" s="48"/>
      <c r="S4" s="48"/>
      <c r="T4" s="48"/>
      <c r="U4" s="50"/>
      <c r="V4" s="51"/>
      <c r="W4" s="52"/>
      <c r="X4" s="52"/>
    </row>
    <row r="5" spans="1:24" s="53" customFormat="1" x14ac:dyDescent="0.25">
      <c r="A5" s="54"/>
      <c r="B5" s="54"/>
      <c r="C5" s="55"/>
      <c r="D5" s="55"/>
      <c r="E5" s="54"/>
      <c r="F5" s="56"/>
      <c r="G5" s="48"/>
      <c r="H5" s="48"/>
      <c r="I5" s="48"/>
      <c r="J5" s="48"/>
      <c r="K5" s="48"/>
      <c r="L5" s="48"/>
      <c r="M5" s="48"/>
      <c r="N5" s="49"/>
      <c r="O5" s="49"/>
      <c r="P5" s="48"/>
      <c r="Q5" s="48"/>
      <c r="R5" s="48"/>
      <c r="S5" s="48"/>
      <c r="T5" s="48"/>
      <c r="U5" s="50"/>
      <c r="V5" s="51"/>
      <c r="W5" s="52"/>
      <c r="X5" s="52"/>
    </row>
    <row r="6" spans="1:24" s="53" customFormat="1" x14ac:dyDescent="0.25">
      <c r="A6" s="54" t="s">
        <v>754</v>
      </c>
      <c r="B6" s="54"/>
      <c r="C6" s="55"/>
      <c r="D6" s="55"/>
      <c r="E6" s="54"/>
      <c r="F6" s="56"/>
      <c r="G6" s="48"/>
      <c r="H6" s="48"/>
      <c r="I6" s="48"/>
      <c r="J6" s="48"/>
      <c r="K6" s="48"/>
      <c r="L6" s="48"/>
      <c r="M6" s="48"/>
      <c r="N6" s="49"/>
      <c r="O6" s="49"/>
      <c r="P6" s="48"/>
      <c r="Q6" s="48"/>
      <c r="R6" s="48"/>
      <c r="S6" s="48"/>
      <c r="T6" s="48"/>
      <c r="U6" s="50"/>
      <c r="V6" s="51"/>
      <c r="W6" s="52"/>
      <c r="X6" s="52"/>
    </row>
    <row r="7" spans="1:24" s="53" customFormat="1" ht="15.75" thickBot="1" x14ac:dyDescent="0.3">
      <c r="A7" s="54" t="s">
        <v>49</v>
      </c>
      <c r="B7" s="54"/>
      <c r="C7" s="55"/>
      <c r="D7" s="55"/>
      <c r="E7" s="54"/>
      <c r="F7" s="56"/>
      <c r="G7" s="48"/>
      <c r="H7" s="48"/>
      <c r="I7" s="48"/>
      <c r="J7" s="48"/>
      <c r="K7" s="48"/>
      <c r="L7" s="48"/>
      <c r="M7" s="48"/>
      <c r="N7" s="49"/>
      <c r="O7" s="49"/>
      <c r="P7" s="48"/>
      <c r="Q7" s="48"/>
      <c r="R7" s="48"/>
      <c r="S7" s="48"/>
      <c r="T7" s="48"/>
      <c r="U7" s="50"/>
      <c r="V7" s="51"/>
      <c r="W7" s="52"/>
      <c r="X7" s="52"/>
    </row>
    <row r="8" spans="1:24" s="53" customFormat="1" ht="16.5" customHeight="1" thickTop="1" x14ac:dyDescent="0.25">
      <c r="A8" s="177" t="s">
        <v>36</v>
      </c>
      <c r="B8" s="177" t="s">
        <v>9</v>
      </c>
      <c r="C8" s="193" t="s">
        <v>755</v>
      </c>
      <c r="D8" s="193"/>
      <c r="E8" s="54"/>
      <c r="F8" s="168" t="s">
        <v>756</v>
      </c>
      <c r="G8" s="181"/>
      <c r="H8" s="168" t="s">
        <v>45</v>
      </c>
      <c r="I8" s="182" t="s">
        <v>757</v>
      </c>
      <c r="J8" s="166" t="s">
        <v>758</v>
      </c>
      <c r="K8" s="168" t="s">
        <v>759</v>
      </c>
      <c r="L8" s="168" t="s">
        <v>750</v>
      </c>
      <c r="M8" s="168" t="s">
        <v>41</v>
      </c>
      <c r="N8" s="173" t="s">
        <v>760</v>
      </c>
      <c r="O8" s="175" t="s">
        <v>761</v>
      </c>
      <c r="P8" s="166" t="s">
        <v>762</v>
      </c>
      <c r="Q8" s="166" t="s">
        <v>763</v>
      </c>
      <c r="R8" s="166" t="s">
        <v>764</v>
      </c>
      <c r="S8" s="168" t="s">
        <v>765</v>
      </c>
      <c r="T8" s="168" t="s">
        <v>766</v>
      </c>
      <c r="U8" s="169" t="s">
        <v>767</v>
      </c>
      <c r="V8" s="51"/>
      <c r="W8" s="52"/>
      <c r="X8" s="52"/>
    </row>
    <row r="9" spans="1:24" s="53" customFormat="1" ht="15.75" thickBot="1" x14ac:dyDescent="0.3">
      <c r="A9" s="192"/>
      <c r="B9" s="192"/>
      <c r="C9" s="57" t="s">
        <v>3</v>
      </c>
      <c r="D9" s="57" t="s">
        <v>768</v>
      </c>
      <c r="E9" s="54"/>
      <c r="F9" s="58" t="s">
        <v>769</v>
      </c>
      <c r="G9" s="59"/>
      <c r="H9" s="188"/>
      <c r="I9" s="194"/>
      <c r="J9" s="195"/>
      <c r="K9" s="188"/>
      <c r="L9" s="188"/>
      <c r="M9" s="188"/>
      <c r="N9" s="174"/>
      <c r="O9" s="176"/>
      <c r="P9" s="184"/>
      <c r="Q9" s="184"/>
      <c r="R9" s="184"/>
      <c r="S9" s="184"/>
      <c r="T9" s="184"/>
      <c r="U9" s="185"/>
      <c r="V9" s="51"/>
      <c r="W9" s="52"/>
      <c r="X9" s="52"/>
    </row>
    <row r="10" spans="1:24" s="53" customFormat="1" ht="15.75" thickTop="1" x14ac:dyDescent="0.25">
      <c r="A10" s="60">
        <v>1</v>
      </c>
      <c r="B10" s="61" t="s">
        <v>620</v>
      </c>
      <c r="C10" s="62">
        <v>7</v>
      </c>
      <c r="D10" s="62">
        <v>0</v>
      </c>
      <c r="E10" s="54">
        <f>SUM(C10:D10)</f>
        <v>7</v>
      </c>
      <c r="F10" s="63">
        <v>20580616</v>
      </c>
      <c r="G10" s="63"/>
      <c r="H10" s="63">
        <v>0</v>
      </c>
      <c r="I10" s="63">
        <v>31000</v>
      </c>
      <c r="J10" s="63">
        <v>950000</v>
      </c>
      <c r="K10" s="63">
        <v>14210453.567</v>
      </c>
      <c r="L10" s="63">
        <v>295.07299999706447</v>
      </c>
      <c r="M10" s="63">
        <f>SUM(F10:K10)</f>
        <v>35772069.567000002</v>
      </c>
      <c r="N10" s="64">
        <v>0</v>
      </c>
      <c r="O10" s="64">
        <f t="shared" ref="O10:O26" si="0">SUM(M10:N10)</f>
        <v>35772069.567000002</v>
      </c>
      <c r="P10" s="63">
        <v>-431232.32</v>
      </c>
      <c r="Q10" s="63">
        <v>-215616.16</v>
      </c>
      <c r="R10" s="63">
        <v>-215616.16</v>
      </c>
      <c r="S10" s="63">
        <v>0</v>
      </c>
      <c r="T10" s="63">
        <v>0</v>
      </c>
      <c r="U10" s="65">
        <f>SUM(L10,M10,N10,P10,Q10,R10,S10,T10)</f>
        <v>34909900.000000007</v>
      </c>
      <c r="V10" s="51"/>
      <c r="W10" s="52"/>
      <c r="X10" s="52"/>
    </row>
    <row r="11" spans="1:24" s="53" customFormat="1" x14ac:dyDescent="0.25">
      <c r="A11" s="66">
        <f>A10+1</f>
        <v>2</v>
      </c>
      <c r="B11" s="67" t="s">
        <v>618</v>
      </c>
      <c r="C11" s="62">
        <v>2</v>
      </c>
      <c r="D11" s="62">
        <v>0</v>
      </c>
      <c r="E11" s="54">
        <f t="shared" ref="E11:E26" si="1">SUM(C11:D11)</f>
        <v>2</v>
      </c>
      <c r="F11" s="63">
        <v>5880176</v>
      </c>
      <c r="G11" s="63"/>
      <c r="H11" s="63">
        <v>0</v>
      </c>
      <c r="I11" s="63">
        <v>10000</v>
      </c>
      <c r="J11" s="63">
        <v>300000</v>
      </c>
      <c r="K11" s="63">
        <v>4797700.5669999998</v>
      </c>
      <c r="L11" s="63">
        <v>130.47299999929965</v>
      </c>
      <c r="M11" s="63">
        <f t="shared" ref="M11:M26" si="2">SUM(F11:K11)</f>
        <v>10987876.567</v>
      </c>
      <c r="N11" s="64">
        <v>0</v>
      </c>
      <c r="O11" s="64">
        <f t="shared" si="0"/>
        <v>10987876.567</v>
      </c>
      <c r="P11" s="63">
        <v>-123803.52</v>
      </c>
      <c r="Q11" s="63">
        <v>-61901.760000000002</v>
      </c>
      <c r="R11" s="63">
        <v>-61901.760000000002</v>
      </c>
      <c r="S11" s="63">
        <v>0</v>
      </c>
      <c r="T11" s="63">
        <v>0</v>
      </c>
      <c r="U11" s="65">
        <f t="shared" ref="U11:U26" si="3">SUM(L11,M11,N11,P11,Q11,R11,S11,T11)</f>
        <v>10740400</v>
      </c>
      <c r="V11" s="51"/>
      <c r="W11" s="52"/>
      <c r="X11" s="52"/>
    </row>
    <row r="12" spans="1:24" s="53" customFormat="1" x14ac:dyDescent="0.25">
      <c r="A12" s="66">
        <f t="shared" ref="A12:A26" si="4">A11+1</f>
        <v>3</v>
      </c>
      <c r="B12" s="68" t="s">
        <v>619</v>
      </c>
      <c r="C12" s="62">
        <v>1</v>
      </c>
      <c r="D12" s="62">
        <v>0</v>
      </c>
      <c r="E12" s="54">
        <f t="shared" si="1"/>
        <v>1</v>
      </c>
      <c r="F12" s="63">
        <v>2940088</v>
      </c>
      <c r="G12" s="63"/>
      <c r="H12" s="63">
        <v>0</v>
      </c>
      <c r="I12" s="63">
        <v>5000</v>
      </c>
      <c r="J12" s="63">
        <v>50000</v>
      </c>
      <c r="K12" s="63">
        <v>2190165.5669999998</v>
      </c>
      <c r="L12" s="63">
        <v>49.95299999974668</v>
      </c>
      <c r="M12" s="63">
        <f t="shared" si="2"/>
        <v>5185253.5669999998</v>
      </c>
      <c r="N12" s="64">
        <v>0</v>
      </c>
      <c r="O12" s="64">
        <f t="shared" si="0"/>
        <v>5185253.5669999998</v>
      </c>
      <c r="P12" s="63">
        <v>-59901.760000000002</v>
      </c>
      <c r="Q12" s="63">
        <v>-29950.880000000001</v>
      </c>
      <c r="R12" s="63">
        <v>-29950.880000000001</v>
      </c>
      <c r="S12" s="63">
        <v>0</v>
      </c>
      <c r="T12" s="63">
        <v>0</v>
      </c>
      <c r="U12" s="65">
        <f t="shared" si="3"/>
        <v>5065500</v>
      </c>
      <c r="V12" s="51"/>
      <c r="W12" s="52"/>
      <c r="X12" s="52"/>
    </row>
    <row r="13" spans="1:24" s="53" customFormat="1" x14ac:dyDescent="0.25">
      <c r="A13" s="66">
        <f t="shared" si="4"/>
        <v>4</v>
      </c>
      <c r="B13" s="69" t="s">
        <v>625</v>
      </c>
      <c r="C13" s="62">
        <v>0</v>
      </c>
      <c r="D13" s="62">
        <v>2</v>
      </c>
      <c r="E13" s="54">
        <f t="shared" si="1"/>
        <v>2</v>
      </c>
      <c r="F13" s="63">
        <v>5880176</v>
      </c>
      <c r="G13" s="63"/>
      <c r="H13" s="63">
        <v>0</v>
      </c>
      <c r="I13" s="63">
        <v>10000</v>
      </c>
      <c r="J13" s="63">
        <v>200000</v>
      </c>
      <c r="K13" s="63">
        <v>3186159.375</v>
      </c>
      <c r="L13" s="63">
        <v>71.66499999910593</v>
      </c>
      <c r="M13" s="63">
        <f t="shared" si="2"/>
        <v>9276335.375</v>
      </c>
      <c r="N13" s="64">
        <v>0</v>
      </c>
      <c r="O13" s="64">
        <f t="shared" si="0"/>
        <v>9276335.375</v>
      </c>
      <c r="P13" s="63">
        <v>-121803.52</v>
      </c>
      <c r="Q13" s="63">
        <v>-60901.760000000002</v>
      </c>
      <c r="R13" s="63">
        <v>-60901.760000000002</v>
      </c>
      <c r="S13" s="63">
        <v>0</v>
      </c>
      <c r="T13" s="63">
        <v>0</v>
      </c>
      <c r="U13" s="65">
        <f t="shared" si="3"/>
        <v>9032800</v>
      </c>
      <c r="V13" s="51"/>
      <c r="W13" s="52"/>
      <c r="X13" s="52"/>
    </row>
    <row r="14" spans="1:24" s="53" customFormat="1" x14ac:dyDescent="0.25">
      <c r="A14" s="66">
        <f t="shared" si="4"/>
        <v>5</v>
      </c>
      <c r="B14" s="61" t="s">
        <v>624</v>
      </c>
      <c r="C14" s="62">
        <v>0</v>
      </c>
      <c r="D14" s="62">
        <v>1</v>
      </c>
      <c r="E14" s="54">
        <f t="shared" si="1"/>
        <v>1</v>
      </c>
      <c r="F14" s="63">
        <v>2940088</v>
      </c>
      <c r="G14" s="63"/>
      <c r="H14" s="63">
        <v>0</v>
      </c>
      <c r="I14" s="63">
        <v>5000</v>
      </c>
      <c r="J14" s="63">
        <v>0</v>
      </c>
      <c r="K14" s="63">
        <v>1280274.375</v>
      </c>
      <c r="L14" s="63">
        <v>41.144999999552965</v>
      </c>
      <c r="M14" s="63">
        <f t="shared" si="2"/>
        <v>4225362.375</v>
      </c>
      <c r="N14" s="64">
        <v>0</v>
      </c>
      <c r="O14" s="64">
        <f t="shared" si="0"/>
        <v>4225362.375</v>
      </c>
      <c r="P14" s="63">
        <v>-58901.760000000002</v>
      </c>
      <c r="Q14" s="63">
        <v>-29450.880000000001</v>
      </c>
      <c r="R14" s="63">
        <v>-29450.880000000001</v>
      </c>
      <c r="S14" s="63">
        <v>0</v>
      </c>
      <c r="T14" s="63">
        <v>0</v>
      </c>
      <c r="U14" s="65">
        <f t="shared" si="3"/>
        <v>4107600</v>
      </c>
      <c r="V14" s="51"/>
      <c r="W14" s="52"/>
      <c r="X14" s="52"/>
    </row>
    <row r="15" spans="1:24" s="53" customFormat="1" x14ac:dyDescent="0.25">
      <c r="A15" s="66">
        <f t="shared" si="4"/>
        <v>6</v>
      </c>
      <c r="B15" s="61" t="s">
        <v>617</v>
      </c>
      <c r="C15" s="62">
        <v>0</v>
      </c>
      <c r="D15" s="62">
        <v>1</v>
      </c>
      <c r="E15" s="54">
        <f t="shared" si="1"/>
        <v>1</v>
      </c>
      <c r="F15" s="63">
        <v>2940088</v>
      </c>
      <c r="G15" s="63"/>
      <c r="H15" s="63">
        <v>0</v>
      </c>
      <c r="I15" s="63">
        <v>5000</v>
      </c>
      <c r="J15" s="63">
        <v>0</v>
      </c>
      <c r="K15" s="63">
        <v>1280274.375</v>
      </c>
      <c r="L15" s="63">
        <v>41.144999999552965</v>
      </c>
      <c r="M15" s="63">
        <f t="shared" si="2"/>
        <v>4225362.375</v>
      </c>
      <c r="N15" s="64">
        <v>0</v>
      </c>
      <c r="O15" s="64">
        <f t="shared" si="0"/>
        <v>4225362.375</v>
      </c>
      <c r="P15" s="63">
        <v>-58901.760000000002</v>
      </c>
      <c r="Q15" s="63">
        <v>-29450.880000000001</v>
      </c>
      <c r="R15" s="63">
        <v>-29450.880000000001</v>
      </c>
      <c r="S15" s="63">
        <v>0</v>
      </c>
      <c r="T15" s="63">
        <v>0</v>
      </c>
      <c r="U15" s="65">
        <f t="shared" si="3"/>
        <v>4107600</v>
      </c>
      <c r="V15" s="51"/>
      <c r="W15" s="52"/>
      <c r="X15" s="52"/>
    </row>
    <row r="16" spans="1:24" s="53" customFormat="1" x14ac:dyDescent="0.25">
      <c r="A16" s="66">
        <f t="shared" si="4"/>
        <v>7</v>
      </c>
      <c r="B16" s="61" t="s">
        <v>626</v>
      </c>
      <c r="C16" s="62">
        <v>0</v>
      </c>
      <c r="D16" s="62">
        <v>1</v>
      </c>
      <c r="E16" s="54">
        <f t="shared" si="1"/>
        <v>1</v>
      </c>
      <c r="F16" s="63">
        <v>2940088</v>
      </c>
      <c r="G16" s="63"/>
      <c r="H16" s="63">
        <v>0</v>
      </c>
      <c r="I16" s="63">
        <v>5000</v>
      </c>
      <c r="J16" s="63">
        <v>0</v>
      </c>
      <c r="K16" s="63">
        <v>1073674.375</v>
      </c>
      <c r="L16" s="63">
        <v>41.144999999552965</v>
      </c>
      <c r="M16" s="63">
        <f t="shared" si="2"/>
        <v>4018762.375</v>
      </c>
      <c r="N16" s="64">
        <v>0</v>
      </c>
      <c r="O16" s="64">
        <f t="shared" si="0"/>
        <v>4018762.375</v>
      </c>
      <c r="P16" s="63">
        <v>-58901.760000000002</v>
      </c>
      <c r="Q16" s="63">
        <v>-29450.880000000001</v>
      </c>
      <c r="R16" s="63">
        <v>-29450.880000000001</v>
      </c>
      <c r="S16" s="63">
        <v>0</v>
      </c>
      <c r="T16" s="63">
        <v>0</v>
      </c>
      <c r="U16" s="65">
        <f t="shared" si="3"/>
        <v>3901000</v>
      </c>
      <c r="V16" s="51"/>
      <c r="W16" s="52"/>
      <c r="X16" s="52"/>
    </row>
    <row r="17" spans="1:24" s="53" customFormat="1" x14ac:dyDescent="0.25">
      <c r="A17" s="66">
        <f t="shared" si="4"/>
        <v>8</v>
      </c>
      <c r="B17" s="61" t="s">
        <v>615</v>
      </c>
      <c r="C17" s="62">
        <v>2</v>
      </c>
      <c r="D17" s="62">
        <v>1</v>
      </c>
      <c r="E17" s="54">
        <f t="shared" si="1"/>
        <v>3</v>
      </c>
      <c r="F17" s="63">
        <v>8920264</v>
      </c>
      <c r="G17" s="63"/>
      <c r="H17" s="63">
        <v>0</v>
      </c>
      <c r="I17" s="63">
        <v>14000</v>
      </c>
      <c r="J17" s="63">
        <v>300000</v>
      </c>
      <c r="K17" s="63">
        <v>5513412</v>
      </c>
      <c r="L17" s="63">
        <v>94.559999998658895</v>
      </c>
      <c r="M17" s="63">
        <f t="shared" si="2"/>
        <v>14747676</v>
      </c>
      <c r="N17" s="64">
        <v>0</v>
      </c>
      <c r="O17" s="64">
        <f t="shared" si="0"/>
        <v>14747676</v>
      </c>
      <c r="P17" s="63">
        <v>-184685.28</v>
      </c>
      <c r="Q17" s="63">
        <v>-92342.64</v>
      </c>
      <c r="R17" s="63">
        <v>-92342.64</v>
      </c>
      <c r="S17" s="63">
        <v>0</v>
      </c>
      <c r="T17" s="63">
        <v>0</v>
      </c>
      <c r="U17" s="65">
        <f t="shared" si="3"/>
        <v>14378399.999999998</v>
      </c>
      <c r="V17" s="51"/>
      <c r="W17" s="52"/>
      <c r="X17" s="52"/>
    </row>
    <row r="18" spans="1:24" s="53" customFormat="1" x14ac:dyDescent="0.25">
      <c r="A18" s="66">
        <f t="shared" si="4"/>
        <v>9</v>
      </c>
      <c r="B18" s="61" t="s">
        <v>666</v>
      </c>
      <c r="C18" s="62">
        <v>0</v>
      </c>
      <c r="D18" s="62">
        <v>0</v>
      </c>
      <c r="E18" s="54">
        <f t="shared" si="1"/>
        <v>0</v>
      </c>
      <c r="F18" s="63">
        <v>0</v>
      </c>
      <c r="G18" s="63"/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f t="shared" si="2"/>
        <v>0</v>
      </c>
      <c r="N18" s="64">
        <v>0</v>
      </c>
      <c r="O18" s="64">
        <f t="shared" si="0"/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5">
        <f t="shared" si="3"/>
        <v>0</v>
      </c>
      <c r="V18" s="51"/>
      <c r="W18" s="52"/>
      <c r="X18" s="52"/>
    </row>
    <row r="19" spans="1:24" s="53" customFormat="1" x14ac:dyDescent="0.25">
      <c r="A19" s="66">
        <f t="shared" si="4"/>
        <v>10</v>
      </c>
      <c r="B19" s="69" t="s">
        <v>627</v>
      </c>
      <c r="C19" s="62">
        <v>1</v>
      </c>
      <c r="D19" s="62">
        <v>0</v>
      </c>
      <c r="E19" s="54">
        <f t="shared" si="1"/>
        <v>1</v>
      </c>
      <c r="F19" s="63">
        <v>2940088</v>
      </c>
      <c r="G19" s="63"/>
      <c r="H19" s="63">
        <v>0</v>
      </c>
      <c r="I19" s="63">
        <v>5000</v>
      </c>
      <c r="J19" s="63">
        <v>0</v>
      </c>
      <c r="K19" s="63">
        <v>1905884.9999999998</v>
      </c>
      <c r="L19" s="63">
        <v>30.519999999552965</v>
      </c>
      <c r="M19" s="63">
        <f t="shared" si="2"/>
        <v>4850973</v>
      </c>
      <c r="N19" s="64">
        <v>0</v>
      </c>
      <c r="O19" s="64">
        <f t="shared" si="0"/>
        <v>4850973</v>
      </c>
      <c r="P19" s="63">
        <v>-58901.760000000002</v>
      </c>
      <c r="Q19" s="63">
        <v>-29450.880000000001</v>
      </c>
      <c r="R19" s="63">
        <v>-29450.880000000001</v>
      </c>
      <c r="S19" s="63">
        <v>0</v>
      </c>
      <c r="T19" s="63">
        <v>0</v>
      </c>
      <c r="U19" s="65">
        <f t="shared" si="3"/>
        <v>4733200</v>
      </c>
      <c r="V19" s="51"/>
      <c r="W19" s="52"/>
      <c r="X19" s="52"/>
    </row>
    <row r="20" spans="1:24" s="53" customFormat="1" x14ac:dyDescent="0.25">
      <c r="A20" s="66">
        <f t="shared" si="4"/>
        <v>11</v>
      </c>
      <c r="B20" s="70" t="s">
        <v>622</v>
      </c>
      <c r="C20" s="62">
        <v>0</v>
      </c>
      <c r="D20" s="62">
        <v>0</v>
      </c>
      <c r="E20" s="54">
        <f t="shared" si="1"/>
        <v>0</v>
      </c>
      <c r="F20" s="63">
        <v>0</v>
      </c>
      <c r="G20" s="63"/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f t="shared" si="2"/>
        <v>0</v>
      </c>
      <c r="N20" s="64">
        <v>0</v>
      </c>
      <c r="O20" s="64">
        <f t="shared" si="0"/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5">
        <f t="shared" si="3"/>
        <v>0</v>
      </c>
      <c r="V20" s="51"/>
      <c r="W20" s="52"/>
      <c r="X20" s="52"/>
    </row>
    <row r="21" spans="1:24" s="53" customFormat="1" x14ac:dyDescent="0.25">
      <c r="A21" s="66">
        <f t="shared" si="4"/>
        <v>12</v>
      </c>
      <c r="B21" s="71" t="s">
        <v>628</v>
      </c>
      <c r="C21" s="62">
        <v>0</v>
      </c>
      <c r="D21" s="62">
        <v>0</v>
      </c>
      <c r="E21" s="54">
        <f t="shared" si="1"/>
        <v>0</v>
      </c>
      <c r="F21" s="63">
        <v>0</v>
      </c>
      <c r="G21" s="63"/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f t="shared" si="2"/>
        <v>0</v>
      </c>
      <c r="N21" s="64">
        <v>0</v>
      </c>
      <c r="O21" s="64">
        <f t="shared" si="0"/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5">
        <f t="shared" si="3"/>
        <v>0</v>
      </c>
      <c r="V21" s="51"/>
      <c r="W21" s="52"/>
      <c r="X21" s="52"/>
    </row>
    <row r="22" spans="1:24" s="53" customFormat="1" x14ac:dyDescent="0.25">
      <c r="A22" s="66">
        <f t="shared" si="4"/>
        <v>13</v>
      </c>
      <c r="B22" s="70" t="s">
        <v>694</v>
      </c>
      <c r="C22" s="62">
        <v>3</v>
      </c>
      <c r="D22" s="62">
        <v>0</v>
      </c>
      <c r="E22" s="54">
        <f t="shared" si="1"/>
        <v>3</v>
      </c>
      <c r="F22" s="63">
        <v>8820264</v>
      </c>
      <c r="G22" s="63"/>
      <c r="H22" s="63">
        <v>0</v>
      </c>
      <c r="I22" s="63">
        <v>15000</v>
      </c>
      <c r="J22" s="63">
        <v>0</v>
      </c>
      <c r="K22" s="63">
        <v>4230503.7809999995</v>
      </c>
      <c r="L22" s="63">
        <v>118.77899999823421</v>
      </c>
      <c r="M22" s="63">
        <f t="shared" si="2"/>
        <v>13065767.780999999</v>
      </c>
      <c r="N22" s="64">
        <v>953324</v>
      </c>
      <c r="O22" s="64">
        <f t="shared" si="0"/>
        <v>14019091.780999999</v>
      </c>
      <c r="P22" s="63">
        <v>-176705.28</v>
      </c>
      <c r="Q22" s="63">
        <v>-88352.639999999999</v>
      </c>
      <c r="R22" s="63">
        <v>-88352.639999999999</v>
      </c>
      <c r="S22" s="63">
        <v>-1000000</v>
      </c>
      <c r="T22" s="63">
        <v>0</v>
      </c>
      <c r="U22" s="65">
        <f t="shared" si="3"/>
        <v>12665799.999999998</v>
      </c>
      <c r="V22" s="51"/>
      <c r="W22" s="52"/>
      <c r="X22" s="52"/>
    </row>
    <row r="23" spans="1:24" s="53" customFormat="1" x14ac:dyDescent="0.25">
      <c r="A23" s="66">
        <f t="shared" si="4"/>
        <v>14</v>
      </c>
      <c r="B23" s="70" t="s">
        <v>621</v>
      </c>
      <c r="C23" s="62">
        <v>0</v>
      </c>
      <c r="D23" s="62">
        <v>0</v>
      </c>
      <c r="E23" s="54">
        <f t="shared" si="1"/>
        <v>0</v>
      </c>
      <c r="F23" s="63">
        <v>0</v>
      </c>
      <c r="G23" s="63"/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f t="shared" si="2"/>
        <v>0</v>
      </c>
      <c r="N23" s="64">
        <v>0</v>
      </c>
      <c r="O23" s="64">
        <f t="shared" si="0"/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5">
        <f t="shared" si="3"/>
        <v>0</v>
      </c>
      <c r="V23" s="51"/>
      <c r="W23" s="52"/>
      <c r="X23" s="52"/>
    </row>
    <row r="24" spans="1:24" s="53" customFormat="1" x14ac:dyDescent="0.25">
      <c r="A24" s="66">
        <f t="shared" si="4"/>
        <v>15</v>
      </c>
      <c r="B24" s="70" t="s">
        <v>629</v>
      </c>
      <c r="C24" s="62">
        <v>1</v>
      </c>
      <c r="D24" s="62">
        <v>0</v>
      </c>
      <c r="E24" s="54">
        <f t="shared" si="1"/>
        <v>1</v>
      </c>
      <c r="F24" s="63">
        <v>6919875</v>
      </c>
      <c r="G24" s="63"/>
      <c r="H24" s="63">
        <v>0</v>
      </c>
      <c r="I24" s="63">
        <v>4000</v>
      </c>
      <c r="J24" s="63">
        <v>0</v>
      </c>
      <c r="K24" s="63">
        <v>688745</v>
      </c>
      <c r="L24" s="63">
        <v>30.519999999552965</v>
      </c>
      <c r="M24" s="63">
        <f t="shared" si="2"/>
        <v>7612620</v>
      </c>
      <c r="N24" s="64">
        <v>0</v>
      </c>
      <c r="O24" s="64">
        <f t="shared" si="0"/>
        <v>7612620</v>
      </c>
      <c r="P24" s="63">
        <v>-58881.760000000002</v>
      </c>
      <c r="Q24" s="63">
        <v>-29440.880000000001</v>
      </c>
      <c r="R24" s="63">
        <v>-29440.880000000001</v>
      </c>
      <c r="S24" s="63">
        <v>-2500</v>
      </c>
      <c r="T24" s="63">
        <v>0</v>
      </c>
      <c r="U24" s="65">
        <f t="shared" si="3"/>
        <v>7492387</v>
      </c>
      <c r="V24" s="51"/>
      <c r="W24" s="52"/>
      <c r="X24" s="52"/>
    </row>
    <row r="25" spans="1:24" s="53" customFormat="1" x14ac:dyDescent="0.25">
      <c r="A25" s="66">
        <f t="shared" si="4"/>
        <v>16</v>
      </c>
      <c r="B25" s="70" t="s">
        <v>616</v>
      </c>
      <c r="C25" s="62">
        <v>1</v>
      </c>
      <c r="D25" s="62">
        <v>0</v>
      </c>
      <c r="E25" s="54">
        <f t="shared" si="1"/>
        <v>1</v>
      </c>
      <c r="F25" s="63">
        <v>4704140.8</v>
      </c>
      <c r="G25" s="63"/>
      <c r="H25" s="63">
        <v>0</v>
      </c>
      <c r="I25" s="63">
        <v>3000</v>
      </c>
      <c r="J25" s="63">
        <v>250000</v>
      </c>
      <c r="K25" s="63">
        <v>2781512</v>
      </c>
      <c r="L25" s="63">
        <v>70.71999999973923</v>
      </c>
      <c r="M25" s="63">
        <f t="shared" si="2"/>
        <v>7738652.7999999998</v>
      </c>
      <c r="N25" s="64">
        <v>0</v>
      </c>
      <c r="O25" s="64">
        <f t="shared" si="0"/>
        <v>7738652.7999999998</v>
      </c>
      <c r="P25" s="63">
        <v>-58861.760000000002</v>
      </c>
      <c r="Q25" s="63">
        <v>-29430.880000000001</v>
      </c>
      <c r="R25" s="63">
        <v>-29430.880000000001</v>
      </c>
      <c r="S25" s="63">
        <v>0</v>
      </c>
      <c r="T25" s="63">
        <v>0</v>
      </c>
      <c r="U25" s="65">
        <f t="shared" si="3"/>
        <v>7621000</v>
      </c>
      <c r="V25" s="51"/>
      <c r="W25" s="52"/>
      <c r="X25" s="52"/>
    </row>
    <row r="26" spans="1:24" s="53" customFormat="1" x14ac:dyDescent="0.25">
      <c r="A26" s="66">
        <f t="shared" si="4"/>
        <v>17</v>
      </c>
      <c r="B26" s="70" t="s">
        <v>623</v>
      </c>
      <c r="C26" s="62">
        <v>0</v>
      </c>
      <c r="D26" s="62">
        <v>2</v>
      </c>
      <c r="E26" s="54">
        <f t="shared" si="1"/>
        <v>2</v>
      </c>
      <c r="F26" s="63">
        <v>5880176</v>
      </c>
      <c r="G26" s="63"/>
      <c r="H26" s="63">
        <v>0</v>
      </c>
      <c r="I26" s="63">
        <v>7000</v>
      </c>
      <c r="J26" s="63">
        <v>0</v>
      </c>
      <c r="K26" s="63">
        <v>2038024.0000000002</v>
      </c>
      <c r="L26" s="63">
        <v>87.03999999910593</v>
      </c>
      <c r="M26" s="63">
        <f t="shared" si="2"/>
        <v>7925200</v>
      </c>
      <c r="N26" s="64">
        <v>0</v>
      </c>
      <c r="O26" s="64">
        <f t="shared" si="0"/>
        <v>7925200</v>
      </c>
      <c r="P26" s="63">
        <v>-117743.52</v>
      </c>
      <c r="Q26" s="63">
        <v>-58871.76</v>
      </c>
      <c r="R26" s="63">
        <v>-58871.76</v>
      </c>
      <c r="S26" s="63">
        <v>0</v>
      </c>
      <c r="T26" s="63">
        <v>0</v>
      </c>
      <c r="U26" s="65">
        <f t="shared" si="3"/>
        <v>7689800</v>
      </c>
      <c r="V26" s="51"/>
      <c r="W26" s="52"/>
      <c r="X26" s="52"/>
    </row>
    <row r="27" spans="1:24" s="53" customFormat="1" x14ac:dyDescent="0.25">
      <c r="A27" s="72"/>
      <c r="B27" s="54"/>
      <c r="C27" s="52"/>
      <c r="D27" s="52"/>
      <c r="E27" s="54"/>
      <c r="F27" s="73"/>
      <c r="G27" s="73"/>
      <c r="H27" s="73"/>
      <c r="I27" s="73"/>
      <c r="J27" s="73"/>
      <c r="K27" s="73"/>
      <c r="L27" s="73"/>
      <c r="M27" s="73"/>
      <c r="N27" s="74"/>
      <c r="O27" s="74"/>
      <c r="P27" s="73"/>
      <c r="Q27" s="73"/>
      <c r="R27" s="73"/>
      <c r="S27" s="73"/>
      <c r="T27" s="73"/>
      <c r="U27" s="50"/>
      <c r="V27" s="51"/>
      <c r="W27" s="52"/>
      <c r="X27" s="52"/>
    </row>
    <row r="28" spans="1:24" s="53" customFormat="1" x14ac:dyDescent="0.25">
      <c r="A28" s="54"/>
      <c r="B28" s="186" t="s">
        <v>50</v>
      </c>
      <c r="C28" s="75">
        <f>SUM(C10:C26)</f>
        <v>18</v>
      </c>
      <c r="D28" s="75">
        <f>SUM(D10:D26)</f>
        <v>8</v>
      </c>
      <c r="E28" s="54"/>
      <c r="F28" s="63">
        <f t="shared" ref="F28:T28" si="5">SUM(F10:F26)</f>
        <v>82286127.799999997</v>
      </c>
      <c r="G28" s="63">
        <f t="shared" si="5"/>
        <v>0</v>
      </c>
      <c r="H28" s="63">
        <f t="shared" si="5"/>
        <v>0</v>
      </c>
      <c r="I28" s="63">
        <f t="shared" si="5"/>
        <v>119000</v>
      </c>
      <c r="J28" s="63">
        <f t="shared" si="5"/>
        <v>2050000</v>
      </c>
      <c r="K28" s="63">
        <f t="shared" si="5"/>
        <v>45176783.981999993</v>
      </c>
      <c r="L28" s="63">
        <f>SUM(L10:L26)</f>
        <v>1102.7379999887198</v>
      </c>
      <c r="M28" s="63">
        <f t="shared" si="5"/>
        <v>129631911.78200001</v>
      </c>
      <c r="N28" s="64">
        <f t="shared" si="5"/>
        <v>953324</v>
      </c>
      <c r="O28" s="64">
        <f t="shared" si="5"/>
        <v>130585235.78200001</v>
      </c>
      <c r="P28" s="63">
        <f t="shared" si="5"/>
        <v>-1569225.76</v>
      </c>
      <c r="Q28" s="63">
        <f t="shared" si="5"/>
        <v>-784612.88</v>
      </c>
      <c r="R28" s="63">
        <f t="shared" si="5"/>
        <v>-784612.88</v>
      </c>
      <c r="S28" s="63">
        <f t="shared" si="5"/>
        <v>-1002500</v>
      </c>
      <c r="T28" s="63">
        <f t="shared" si="5"/>
        <v>0</v>
      </c>
      <c r="U28" s="63">
        <f>SUM(U10:U26)</f>
        <v>126445387</v>
      </c>
      <c r="V28" s="51"/>
      <c r="W28" s="52"/>
      <c r="X28" s="52"/>
    </row>
    <row r="29" spans="1:24" s="53" customFormat="1" x14ac:dyDescent="0.25">
      <c r="A29" s="52"/>
      <c r="B29" s="186"/>
      <c r="C29" s="187">
        <f>SUM(C28:D28)</f>
        <v>26</v>
      </c>
      <c r="D29" s="187"/>
      <c r="E29" s="52"/>
      <c r="F29" s="76">
        <f>'[2]GAJI 25 MEI - 24 JUNI 2026'!R42</f>
        <v>82286127.799999997</v>
      </c>
      <c r="G29" s="76">
        <v>0</v>
      </c>
      <c r="H29" s="76">
        <f>'[2]GAJI 25 MEI - 24 JUNI 2026'!T42</f>
        <v>0</v>
      </c>
      <c r="I29" s="76">
        <f>'[2]GAJI 25 MEI - 24 JUNI 2026'!N42</f>
        <v>119000</v>
      </c>
      <c r="J29" s="76">
        <f>'[2]GAJI 25 MEI - 24 JUNI 2026'!U42</f>
        <v>2050000</v>
      </c>
      <c r="K29" s="76">
        <f>'[2]GAJI 25 MEI - 24 JUNI 2026'!V42</f>
        <v>45176783.982000001</v>
      </c>
      <c r="L29" s="76">
        <f>'[2]GAJI 25 MEI - 24 JUNI 2026'!W42</f>
        <v>1102.7379999887198</v>
      </c>
      <c r="M29" s="76">
        <f>'[2]GAJI 25 MEI - 24 JUNI 2026'!X42-'[2]GAJI 25 MEI - 24 JUNI 2026'!S42</f>
        <v>129631911.78200001</v>
      </c>
      <c r="N29" s="77">
        <f>'[2]GAJI 25 MEI - 24 JUNI 2026'!S42</f>
        <v>953324</v>
      </c>
      <c r="O29" s="77">
        <f>'[2]GAJI 25 MEI - 24 JUNI 2026'!X42</f>
        <v>130585235.78200001</v>
      </c>
      <c r="P29" s="50">
        <f>'[2]GAJI 25 MEI - 24 JUNI 2026'!Y42</f>
        <v>-1569225.76</v>
      </c>
      <c r="Q29" s="50">
        <f>'[2]GAJI 25 MEI - 24 JUNI 2026'!Z42</f>
        <v>-784612.88</v>
      </c>
      <c r="R29" s="50">
        <f>'[2]GAJI 25 MEI - 24 JUNI 2026'!AA42</f>
        <v>-784612.88</v>
      </c>
      <c r="S29" s="50">
        <f>'[2]GAJI 25 MEI - 24 JUNI 2026'!AB42</f>
        <v>-1002500</v>
      </c>
      <c r="T29" s="50">
        <f>'[2]GAJI 25 MEI - 24 JUNI 2026'!AC42</f>
        <v>0</v>
      </c>
      <c r="U29" s="50">
        <f>'[2]GAJI 25 MEI - 24 JUNI 2026'!AD42</f>
        <v>126445387</v>
      </c>
      <c r="V29" s="51"/>
      <c r="W29" s="52"/>
      <c r="X29" s="52"/>
    </row>
    <row r="30" spans="1:24" s="53" customFormat="1" x14ac:dyDescent="0.25">
      <c r="A30" s="52"/>
      <c r="B30" s="52"/>
      <c r="C30" s="52"/>
      <c r="D30" s="52"/>
      <c r="E30" s="52"/>
      <c r="F30" s="76">
        <f>F29-F28</f>
        <v>0</v>
      </c>
      <c r="G30" s="76">
        <f t="shared" ref="G30:U30" si="6">G29-G28</f>
        <v>0</v>
      </c>
      <c r="H30" s="76">
        <f t="shared" si="6"/>
        <v>0</v>
      </c>
      <c r="I30" s="76">
        <f t="shared" si="6"/>
        <v>0</v>
      </c>
      <c r="J30" s="76">
        <f t="shared" si="6"/>
        <v>0</v>
      </c>
      <c r="K30" s="76">
        <f t="shared" si="6"/>
        <v>0</v>
      </c>
      <c r="L30" s="76">
        <f t="shared" si="6"/>
        <v>0</v>
      </c>
      <c r="M30" s="76">
        <f t="shared" si="6"/>
        <v>0</v>
      </c>
      <c r="N30" s="78"/>
      <c r="O30" s="78"/>
      <c r="P30" s="76">
        <f t="shared" si="6"/>
        <v>0</v>
      </c>
      <c r="Q30" s="76">
        <f t="shared" si="6"/>
        <v>0</v>
      </c>
      <c r="R30" s="76">
        <f t="shared" si="6"/>
        <v>0</v>
      </c>
      <c r="S30" s="76">
        <f t="shared" si="6"/>
        <v>0</v>
      </c>
      <c r="T30" s="76">
        <f t="shared" si="6"/>
        <v>0</v>
      </c>
      <c r="U30" s="76">
        <f t="shared" si="6"/>
        <v>0</v>
      </c>
      <c r="V30" s="51"/>
      <c r="W30" s="52"/>
      <c r="X30" s="52"/>
    </row>
    <row r="31" spans="1:24" s="53" customFormat="1" x14ac:dyDescent="0.25">
      <c r="A31" s="79"/>
      <c r="B31" s="52"/>
      <c r="C31" s="52"/>
      <c r="D31" s="52"/>
      <c r="E31" s="52"/>
      <c r="F31" s="76"/>
      <c r="G31" s="50"/>
      <c r="H31" s="50"/>
      <c r="I31" s="50"/>
      <c r="J31" s="50"/>
      <c r="K31" s="50"/>
      <c r="L31" s="50"/>
      <c r="M31" s="50"/>
      <c r="N31" s="77"/>
      <c r="O31" s="77"/>
      <c r="P31" s="50"/>
      <c r="Q31" s="50"/>
      <c r="R31" s="50"/>
      <c r="S31" s="50"/>
      <c r="T31" s="50"/>
      <c r="U31" s="50"/>
      <c r="V31" s="51"/>
      <c r="W31" s="52"/>
      <c r="X31" s="52"/>
    </row>
    <row r="32" spans="1:24" s="53" customFormat="1" ht="15.75" thickBot="1" x14ac:dyDescent="0.3">
      <c r="A32" s="79" t="s">
        <v>770</v>
      </c>
      <c r="B32" s="79"/>
      <c r="C32" s="80"/>
      <c r="D32" s="80"/>
      <c r="E32" s="79"/>
      <c r="F32" s="76"/>
      <c r="G32" s="50"/>
      <c r="H32" s="50"/>
      <c r="I32" s="50"/>
      <c r="J32" s="50"/>
      <c r="K32" s="50"/>
      <c r="L32" s="50"/>
      <c r="M32" s="50"/>
      <c r="N32" s="77"/>
      <c r="O32" s="77"/>
      <c r="P32" s="50"/>
      <c r="Q32" s="50"/>
      <c r="R32" s="50"/>
      <c r="S32" s="50"/>
      <c r="T32" s="50"/>
      <c r="U32" s="50"/>
      <c r="V32" s="51"/>
      <c r="W32" s="52"/>
      <c r="X32" s="52"/>
    </row>
    <row r="33" spans="1:24" s="53" customFormat="1" ht="16.5" customHeight="1" thickTop="1" x14ac:dyDescent="0.25">
      <c r="A33" s="177" t="s">
        <v>36</v>
      </c>
      <c r="B33" s="177" t="s">
        <v>9</v>
      </c>
      <c r="C33" s="179" t="s">
        <v>755</v>
      </c>
      <c r="D33" s="180"/>
      <c r="E33" s="54"/>
      <c r="F33" s="168" t="str">
        <f>F8</f>
        <v>25 MEI - 24 JUNI 2025</v>
      </c>
      <c r="G33" s="181"/>
      <c r="H33" s="168" t="s">
        <v>45</v>
      </c>
      <c r="I33" s="182" t="s">
        <v>757</v>
      </c>
      <c r="J33" s="166" t="s">
        <v>771</v>
      </c>
      <c r="K33" s="168" t="s">
        <v>759</v>
      </c>
      <c r="L33" s="168" t="s">
        <v>750</v>
      </c>
      <c r="M33" s="168" t="s">
        <v>41</v>
      </c>
      <c r="N33" s="173" t="s">
        <v>760</v>
      </c>
      <c r="O33" s="175" t="s">
        <v>761</v>
      </c>
      <c r="P33" s="166" t="s">
        <v>762</v>
      </c>
      <c r="Q33" s="166" t="s">
        <v>763</v>
      </c>
      <c r="R33" s="166" t="s">
        <v>764</v>
      </c>
      <c r="S33" s="168" t="s">
        <v>765</v>
      </c>
      <c r="T33" s="168" t="s">
        <v>766</v>
      </c>
      <c r="U33" s="169" t="s">
        <v>767</v>
      </c>
      <c r="V33" s="51"/>
      <c r="W33" s="52"/>
      <c r="X33" s="52"/>
    </row>
    <row r="34" spans="1:24" s="53" customFormat="1" ht="15.75" thickBot="1" x14ac:dyDescent="0.3">
      <c r="A34" s="178"/>
      <c r="B34" s="178"/>
      <c r="C34" s="57" t="s">
        <v>3</v>
      </c>
      <c r="D34" s="57" t="s">
        <v>768</v>
      </c>
      <c r="E34" s="54"/>
      <c r="F34" s="81" t="s">
        <v>769</v>
      </c>
      <c r="G34" s="82"/>
      <c r="H34" s="172"/>
      <c r="I34" s="183"/>
      <c r="J34" s="171"/>
      <c r="K34" s="172"/>
      <c r="L34" s="172"/>
      <c r="M34" s="172"/>
      <c r="N34" s="174"/>
      <c r="O34" s="176"/>
      <c r="P34" s="167"/>
      <c r="Q34" s="167"/>
      <c r="R34" s="167"/>
      <c r="S34" s="167"/>
      <c r="T34" s="167"/>
      <c r="U34" s="170"/>
      <c r="V34" s="51"/>
      <c r="W34" s="52"/>
      <c r="X34" s="52"/>
    </row>
    <row r="35" spans="1:24" s="53" customFormat="1" ht="15.75" thickTop="1" x14ac:dyDescent="0.25">
      <c r="A35" s="60">
        <v>1</v>
      </c>
      <c r="B35" s="83" t="s">
        <v>772</v>
      </c>
      <c r="C35" s="62">
        <v>5</v>
      </c>
      <c r="D35" s="62">
        <v>0</v>
      </c>
      <c r="E35" s="54">
        <f>SUM(C35:D35)</f>
        <v>5</v>
      </c>
      <c r="F35" s="63">
        <v>14700440</v>
      </c>
      <c r="G35" s="63"/>
      <c r="H35" s="63">
        <v>0</v>
      </c>
      <c r="I35" s="84">
        <v>9000</v>
      </c>
      <c r="J35" s="63">
        <v>0</v>
      </c>
      <c r="K35" s="63">
        <v>0</v>
      </c>
      <c r="L35" s="63">
        <v>437.59999999776483</v>
      </c>
      <c r="M35" s="63">
        <f t="shared" ref="M35:M52" si="7">SUM(F35:K35)</f>
        <v>14709440</v>
      </c>
      <c r="N35" s="64">
        <v>5756500</v>
      </c>
      <c r="O35" s="64">
        <f>SUM(M35:N35)</f>
        <v>20465940</v>
      </c>
      <c r="P35" s="85">
        <v>-294188.79999999999</v>
      </c>
      <c r="Q35" s="86">
        <v>-147094.39999999999</v>
      </c>
      <c r="R35" s="86">
        <v>-147094.39999999999</v>
      </c>
      <c r="S35" s="86">
        <v>0</v>
      </c>
      <c r="T35" s="63">
        <v>0</v>
      </c>
      <c r="U35" s="65">
        <f t="shared" ref="U35:U52" si="8">SUM(L35,M35,N35,P35,Q35,R35,S35,T35)</f>
        <v>19878000</v>
      </c>
      <c r="V35" s="87"/>
      <c r="W35" s="52"/>
      <c r="X35" s="52"/>
    </row>
    <row r="36" spans="1:24" s="53" customFormat="1" x14ac:dyDescent="0.25">
      <c r="A36" s="66">
        <f>A35+1</f>
        <v>2</v>
      </c>
      <c r="B36" s="71" t="s">
        <v>773</v>
      </c>
      <c r="C36" s="62">
        <v>0</v>
      </c>
      <c r="D36" s="62">
        <v>1</v>
      </c>
      <c r="E36" s="54">
        <f t="shared" ref="E36:E52" si="9">SUM(C36:D36)</f>
        <v>1</v>
      </c>
      <c r="F36" s="63">
        <v>2940088</v>
      </c>
      <c r="G36" s="63"/>
      <c r="H36" s="63">
        <v>0</v>
      </c>
      <c r="I36" s="84">
        <v>5000</v>
      </c>
      <c r="J36" s="63">
        <v>0</v>
      </c>
      <c r="K36" s="63">
        <v>0</v>
      </c>
      <c r="L36" s="63">
        <v>15.519999999552965</v>
      </c>
      <c r="M36" s="63">
        <f t="shared" si="7"/>
        <v>2945088</v>
      </c>
      <c r="N36" s="64">
        <v>0</v>
      </c>
      <c r="O36" s="64">
        <f t="shared" ref="O36:O52" si="10">SUM(M36:N36)</f>
        <v>2945088</v>
      </c>
      <c r="P36" s="85">
        <v>-58901.760000000002</v>
      </c>
      <c r="Q36" s="86">
        <v>-29450.880000000001</v>
      </c>
      <c r="R36" s="86">
        <v>-29450.880000000001</v>
      </c>
      <c r="S36" s="86">
        <v>0</v>
      </c>
      <c r="T36" s="63">
        <v>0</v>
      </c>
      <c r="U36" s="65">
        <f t="shared" si="8"/>
        <v>2827300</v>
      </c>
      <c r="V36" s="87"/>
      <c r="W36" s="52"/>
      <c r="X36" s="52"/>
    </row>
    <row r="37" spans="1:24" s="53" customFormat="1" x14ac:dyDescent="0.25">
      <c r="A37" s="66">
        <f t="shared" ref="A37:A52" si="11">A36+1</f>
        <v>3</v>
      </c>
      <c r="B37" s="61" t="s">
        <v>615</v>
      </c>
      <c r="C37" s="62">
        <v>2</v>
      </c>
      <c r="D37" s="62">
        <v>8</v>
      </c>
      <c r="E37" s="54">
        <f t="shared" si="9"/>
        <v>10</v>
      </c>
      <c r="F37" s="63">
        <v>28930465.920000002</v>
      </c>
      <c r="G37" s="63"/>
      <c r="H37" s="63">
        <v>0</v>
      </c>
      <c r="I37" s="84">
        <v>26000</v>
      </c>
      <c r="J37" s="63">
        <v>0</v>
      </c>
      <c r="K37" s="63">
        <v>750000</v>
      </c>
      <c r="L37" s="63">
        <v>582.23999999649823</v>
      </c>
      <c r="M37" s="63">
        <f t="shared" si="7"/>
        <v>29706465.920000002</v>
      </c>
      <c r="N37" s="64">
        <v>10734600</v>
      </c>
      <c r="O37" s="64">
        <f t="shared" si="10"/>
        <v>40441065.920000002</v>
      </c>
      <c r="P37" s="85">
        <v>-470774.08</v>
      </c>
      <c r="Q37" s="86">
        <v>-235387.04</v>
      </c>
      <c r="R37" s="86">
        <v>-235387.04</v>
      </c>
      <c r="S37" s="86">
        <v>0</v>
      </c>
      <c r="T37" s="63">
        <v>0</v>
      </c>
      <c r="U37" s="65">
        <f t="shared" si="8"/>
        <v>39500100</v>
      </c>
      <c r="V37" s="87"/>
      <c r="W37" s="52"/>
      <c r="X37" s="52"/>
    </row>
    <row r="38" spans="1:24" s="53" customFormat="1" x14ac:dyDescent="0.25">
      <c r="A38" s="66">
        <f t="shared" si="11"/>
        <v>4</v>
      </c>
      <c r="B38" s="88" t="s">
        <v>695</v>
      </c>
      <c r="C38" s="62">
        <v>0</v>
      </c>
      <c r="D38" s="62">
        <v>0</v>
      </c>
      <c r="E38" s="54">
        <f t="shared" si="9"/>
        <v>0</v>
      </c>
      <c r="F38" s="63">
        <v>0</v>
      </c>
      <c r="G38" s="63"/>
      <c r="H38" s="63">
        <v>0</v>
      </c>
      <c r="I38" s="84">
        <v>0</v>
      </c>
      <c r="J38" s="63">
        <v>0</v>
      </c>
      <c r="K38" s="63">
        <v>0</v>
      </c>
      <c r="L38" s="63">
        <v>0</v>
      </c>
      <c r="M38" s="63">
        <f t="shared" si="7"/>
        <v>0</v>
      </c>
      <c r="N38" s="64">
        <v>0</v>
      </c>
      <c r="O38" s="64">
        <f t="shared" si="10"/>
        <v>0</v>
      </c>
      <c r="P38" s="85">
        <v>0</v>
      </c>
      <c r="Q38" s="86">
        <v>0</v>
      </c>
      <c r="R38" s="86">
        <v>0</v>
      </c>
      <c r="S38" s="86">
        <v>0</v>
      </c>
      <c r="T38" s="63">
        <v>0</v>
      </c>
      <c r="U38" s="65">
        <f t="shared" si="8"/>
        <v>0</v>
      </c>
      <c r="V38" s="87"/>
      <c r="W38" s="52"/>
      <c r="X38" s="52"/>
    </row>
    <row r="39" spans="1:24" s="53" customFormat="1" x14ac:dyDescent="0.25">
      <c r="A39" s="66">
        <f t="shared" si="11"/>
        <v>5</v>
      </c>
      <c r="B39" s="88" t="s">
        <v>623</v>
      </c>
      <c r="C39" s="62">
        <v>0</v>
      </c>
      <c r="D39" s="62">
        <v>0</v>
      </c>
      <c r="E39" s="54">
        <f t="shared" si="9"/>
        <v>0</v>
      </c>
      <c r="F39" s="63">
        <v>0</v>
      </c>
      <c r="G39" s="63"/>
      <c r="H39" s="63">
        <v>0</v>
      </c>
      <c r="I39" s="84">
        <v>0</v>
      </c>
      <c r="J39" s="63">
        <v>0</v>
      </c>
      <c r="K39" s="63">
        <v>0</v>
      </c>
      <c r="L39" s="63">
        <v>0</v>
      </c>
      <c r="M39" s="63">
        <f t="shared" si="7"/>
        <v>0</v>
      </c>
      <c r="N39" s="64">
        <v>0</v>
      </c>
      <c r="O39" s="64">
        <f t="shared" si="10"/>
        <v>0</v>
      </c>
      <c r="P39" s="85">
        <v>0</v>
      </c>
      <c r="Q39" s="86">
        <v>0</v>
      </c>
      <c r="R39" s="86">
        <v>0</v>
      </c>
      <c r="S39" s="86">
        <v>0</v>
      </c>
      <c r="T39" s="63">
        <v>0</v>
      </c>
      <c r="U39" s="65">
        <f t="shared" si="8"/>
        <v>0</v>
      </c>
      <c r="V39" s="87"/>
      <c r="W39" s="52"/>
      <c r="X39" s="52"/>
    </row>
    <row r="40" spans="1:24" s="53" customFormat="1" x14ac:dyDescent="0.25">
      <c r="A40" s="66">
        <f t="shared" si="11"/>
        <v>6</v>
      </c>
      <c r="B40" s="88" t="s">
        <v>629</v>
      </c>
      <c r="C40" s="62">
        <v>1</v>
      </c>
      <c r="D40" s="62">
        <v>1</v>
      </c>
      <c r="E40" s="54">
        <f t="shared" si="9"/>
        <v>2</v>
      </c>
      <c r="F40" s="63">
        <v>5880176</v>
      </c>
      <c r="G40" s="63"/>
      <c r="H40" s="63">
        <v>0</v>
      </c>
      <c r="I40" s="84">
        <v>6000</v>
      </c>
      <c r="J40" s="63">
        <v>0</v>
      </c>
      <c r="K40" s="63">
        <v>0</v>
      </c>
      <c r="L40" s="63">
        <v>67.519999999552965</v>
      </c>
      <c r="M40" s="63">
        <f t="shared" si="7"/>
        <v>5886176</v>
      </c>
      <c r="N40" s="64">
        <v>102200</v>
      </c>
      <c r="O40" s="64">
        <f t="shared" si="10"/>
        <v>5988376</v>
      </c>
      <c r="P40" s="85">
        <v>-58821.760000000002</v>
      </c>
      <c r="Q40" s="86">
        <v>-29410.880000000001</v>
      </c>
      <c r="R40" s="86">
        <v>-29410.880000000001</v>
      </c>
      <c r="S40" s="86">
        <v>0</v>
      </c>
      <c r="T40" s="63">
        <v>0</v>
      </c>
      <c r="U40" s="65">
        <f t="shared" si="8"/>
        <v>5870800</v>
      </c>
      <c r="V40" s="87"/>
      <c r="W40" s="52"/>
      <c r="X40" s="52"/>
    </row>
    <row r="41" spans="1:24" s="53" customFormat="1" x14ac:dyDescent="0.25">
      <c r="A41" s="66">
        <f t="shared" si="11"/>
        <v>7</v>
      </c>
      <c r="B41" s="88" t="s">
        <v>616</v>
      </c>
      <c r="C41" s="62">
        <v>2</v>
      </c>
      <c r="D41" s="62">
        <v>0</v>
      </c>
      <c r="E41" s="54">
        <f t="shared" si="9"/>
        <v>2</v>
      </c>
      <c r="F41" s="63">
        <v>5644968.96</v>
      </c>
      <c r="G41" s="63"/>
      <c r="H41" s="63">
        <v>0</v>
      </c>
      <c r="I41" s="84">
        <v>8000</v>
      </c>
      <c r="J41" s="63">
        <v>0</v>
      </c>
      <c r="K41" s="63">
        <v>1152000</v>
      </c>
      <c r="L41" s="63">
        <v>94.559999999590218</v>
      </c>
      <c r="M41" s="63">
        <f t="shared" si="7"/>
        <v>6804968.96</v>
      </c>
      <c r="N41" s="64">
        <v>408500</v>
      </c>
      <c r="O41" s="64">
        <f t="shared" si="10"/>
        <v>7213468.96</v>
      </c>
      <c r="P41" s="85">
        <v>-58881.760000000002</v>
      </c>
      <c r="Q41" s="86">
        <v>-29440.880000000001</v>
      </c>
      <c r="R41" s="86">
        <v>-29440.880000000001</v>
      </c>
      <c r="S41" s="86">
        <v>0</v>
      </c>
      <c r="T41" s="63">
        <v>0</v>
      </c>
      <c r="U41" s="65">
        <f t="shared" si="8"/>
        <v>7095800</v>
      </c>
      <c r="V41" s="87"/>
      <c r="W41" s="52"/>
      <c r="X41" s="52"/>
    </row>
    <row r="42" spans="1:24" s="53" customFormat="1" x14ac:dyDescent="0.25">
      <c r="A42" s="66">
        <f t="shared" si="11"/>
        <v>8</v>
      </c>
      <c r="B42" s="70" t="s">
        <v>619</v>
      </c>
      <c r="C42" s="62">
        <v>3</v>
      </c>
      <c r="D42" s="62">
        <v>0</v>
      </c>
      <c r="E42" s="54">
        <f t="shared" si="9"/>
        <v>3</v>
      </c>
      <c r="F42" s="63">
        <v>8820264</v>
      </c>
      <c r="G42" s="63"/>
      <c r="H42" s="63">
        <v>0</v>
      </c>
      <c r="I42" s="84">
        <v>6000</v>
      </c>
      <c r="J42" s="63">
        <v>0</v>
      </c>
      <c r="K42" s="63">
        <v>0</v>
      </c>
      <c r="L42" s="63">
        <v>286.5599999986589</v>
      </c>
      <c r="M42" s="63">
        <f t="shared" si="7"/>
        <v>8826264</v>
      </c>
      <c r="N42" s="64">
        <v>3554500</v>
      </c>
      <c r="O42" s="64">
        <f t="shared" si="10"/>
        <v>12380764</v>
      </c>
      <c r="P42" s="85">
        <v>-176525.28</v>
      </c>
      <c r="Q42" s="86">
        <v>-88262.64</v>
      </c>
      <c r="R42" s="86">
        <v>-88262.64</v>
      </c>
      <c r="S42" s="86">
        <v>0</v>
      </c>
      <c r="T42" s="63">
        <v>0</v>
      </c>
      <c r="U42" s="65">
        <f t="shared" si="8"/>
        <v>12027999.999999998</v>
      </c>
      <c r="V42" s="87"/>
      <c r="W42" s="52"/>
      <c r="X42" s="52"/>
    </row>
    <row r="43" spans="1:24" s="53" customFormat="1" x14ac:dyDescent="0.25">
      <c r="A43" s="66">
        <f t="shared" si="11"/>
        <v>9</v>
      </c>
      <c r="B43" s="61" t="s">
        <v>621</v>
      </c>
      <c r="C43" s="62">
        <v>1</v>
      </c>
      <c r="D43" s="62">
        <v>0</v>
      </c>
      <c r="E43" s="54">
        <f t="shared" si="9"/>
        <v>1</v>
      </c>
      <c r="F43" s="63">
        <v>2940088</v>
      </c>
      <c r="G43" s="63"/>
      <c r="H43" s="63">
        <v>0</v>
      </c>
      <c r="I43" s="84">
        <v>3000</v>
      </c>
      <c r="J43" s="63">
        <v>0</v>
      </c>
      <c r="K43" s="63">
        <v>600000</v>
      </c>
      <c r="L43" s="63">
        <v>35.519999999552965</v>
      </c>
      <c r="M43" s="63">
        <f t="shared" si="7"/>
        <v>3543088</v>
      </c>
      <c r="N43" s="64">
        <v>1497100</v>
      </c>
      <c r="O43" s="64">
        <f t="shared" si="10"/>
        <v>5040188</v>
      </c>
      <c r="P43" s="85">
        <v>-58861.760000000002</v>
      </c>
      <c r="Q43" s="86">
        <v>-29430.880000000001</v>
      </c>
      <c r="R43" s="86">
        <v>-29430.880000000001</v>
      </c>
      <c r="S43" s="86">
        <v>0</v>
      </c>
      <c r="T43" s="63">
        <v>0</v>
      </c>
      <c r="U43" s="65">
        <f t="shared" si="8"/>
        <v>4922500</v>
      </c>
      <c r="V43" s="87"/>
      <c r="W43" s="52"/>
      <c r="X43" s="52"/>
    </row>
    <row r="44" spans="1:24" s="53" customFormat="1" x14ac:dyDescent="0.25">
      <c r="A44" s="66">
        <f t="shared" si="11"/>
        <v>10</v>
      </c>
      <c r="B44" s="67" t="s">
        <v>628</v>
      </c>
      <c r="C44" s="62">
        <v>1</v>
      </c>
      <c r="D44" s="62">
        <v>0</v>
      </c>
      <c r="E44" s="54">
        <f t="shared" si="9"/>
        <v>1</v>
      </c>
      <c r="F44" s="63">
        <v>2940088</v>
      </c>
      <c r="G44" s="63"/>
      <c r="H44" s="63">
        <v>0</v>
      </c>
      <c r="I44" s="84">
        <v>0</v>
      </c>
      <c r="J44" s="63">
        <v>0</v>
      </c>
      <c r="K44" s="63">
        <v>0</v>
      </c>
      <c r="L44" s="63">
        <v>15.519999999552965</v>
      </c>
      <c r="M44" s="63">
        <f t="shared" si="7"/>
        <v>2940088</v>
      </c>
      <c r="N44" s="64">
        <v>399400</v>
      </c>
      <c r="O44" s="64">
        <f t="shared" si="10"/>
        <v>3339488</v>
      </c>
      <c r="P44" s="85">
        <v>-58801.760000000002</v>
      </c>
      <c r="Q44" s="86">
        <v>-29400.880000000001</v>
      </c>
      <c r="R44" s="86">
        <v>-29400.880000000001</v>
      </c>
      <c r="S44" s="86">
        <v>0</v>
      </c>
      <c r="T44" s="63">
        <v>0</v>
      </c>
      <c r="U44" s="65">
        <f t="shared" si="8"/>
        <v>3221900</v>
      </c>
      <c r="V44" s="87"/>
      <c r="W44" s="52"/>
      <c r="X44" s="52"/>
    </row>
    <row r="45" spans="1:24" s="53" customFormat="1" x14ac:dyDescent="0.25">
      <c r="A45" s="66">
        <f t="shared" si="11"/>
        <v>11</v>
      </c>
      <c r="B45" s="61" t="s">
        <v>774</v>
      </c>
      <c r="C45" s="62">
        <v>0</v>
      </c>
      <c r="D45" s="62">
        <v>9</v>
      </c>
      <c r="E45" s="54">
        <f t="shared" si="9"/>
        <v>9</v>
      </c>
      <c r="F45" s="63">
        <v>26460792</v>
      </c>
      <c r="G45" s="63"/>
      <c r="H45" s="63">
        <v>0</v>
      </c>
      <c r="I45" s="84">
        <v>15000</v>
      </c>
      <c r="J45" s="63">
        <v>0</v>
      </c>
      <c r="K45" s="63">
        <v>0</v>
      </c>
      <c r="L45" s="63">
        <v>739.67999999597669</v>
      </c>
      <c r="M45" s="63">
        <f t="shared" si="7"/>
        <v>26475792</v>
      </c>
      <c r="N45" s="64">
        <v>10347700</v>
      </c>
      <c r="O45" s="64">
        <f t="shared" si="10"/>
        <v>36823492</v>
      </c>
      <c r="P45" s="85">
        <v>-529515.84</v>
      </c>
      <c r="Q45" s="86">
        <v>-264757.92</v>
      </c>
      <c r="R45" s="86">
        <v>-264757.92</v>
      </c>
      <c r="S45" s="86">
        <v>0</v>
      </c>
      <c r="T45" s="63">
        <v>0</v>
      </c>
      <c r="U45" s="65">
        <f t="shared" si="8"/>
        <v>35765199.999999985</v>
      </c>
      <c r="V45" s="87"/>
      <c r="W45" s="52"/>
      <c r="X45" s="52"/>
    </row>
    <row r="46" spans="1:24" s="53" customFormat="1" x14ac:dyDescent="0.25">
      <c r="A46" s="66">
        <f t="shared" si="11"/>
        <v>12</v>
      </c>
      <c r="B46" s="70" t="s">
        <v>622</v>
      </c>
      <c r="C46" s="62">
        <v>4</v>
      </c>
      <c r="D46" s="62">
        <v>0</v>
      </c>
      <c r="E46" s="54">
        <f t="shared" si="9"/>
        <v>4</v>
      </c>
      <c r="F46" s="63">
        <v>11760352</v>
      </c>
      <c r="G46" s="63"/>
      <c r="H46" s="63">
        <v>0</v>
      </c>
      <c r="I46" s="84">
        <v>9000</v>
      </c>
      <c r="J46" s="63">
        <v>0</v>
      </c>
      <c r="K46" s="63">
        <v>0</v>
      </c>
      <c r="L46" s="63">
        <v>222.07999999821186</v>
      </c>
      <c r="M46" s="63">
        <f t="shared" si="7"/>
        <v>11769352</v>
      </c>
      <c r="N46" s="64">
        <v>5213300</v>
      </c>
      <c r="O46" s="64">
        <f t="shared" si="10"/>
        <v>16982652</v>
      </c>
      <c r="P46" s="85">
        <v>-235387.04</v>
      </c>
      <c r="Q46" s="86">
        <v>-117693.52</v>
      </c>
      <c r="R46" s="86">
        <v>-117693.52</v>
      </c>
      <c r="S46" s="86">
        <v>0</v>
      </c>
      <c r="T46" s="63">
        <v>0</v>
      </c>
      <c r="U46" s="65">
        <f t="shared" si="8"/>
        <v>16512100</v>
      </c>
      <c r="V46" s="87"/>
      <c r="W46" s="52"/>
      <c r="X46" s="52"/>
    </row>
    <row r="47" spans="1:24" s="53" customFormat="1" x14ac:dyDescent="0.25">
      <c r="A47" s="66">
        <f t="shared" si="11"/>
        <v>13</v>
      </c>
      <c r="B47" s="89" t="s">
        <v>775</v>
      </c>
      <c r="C47" s="62">
        <v>0</v>
      </c>
      <c r="D47" s="62">
        <v>10</v>
      </c>
      <c r="E47" s="54">
        <f t="shared" si="9"/>
        <v>10</v>
      </c>
      <c r="F47" s="63">
        <v>29400880</v>
      </c>
      <c r="G47" s="63"/>
      <c r="H47" s="63">
        <v>0</v>
      </c>
      <c r="I47" s="84">
        <v>20000</v>
      </c>
      <c r="J47" s="63">
        <v>0</v>
      </c>
      <c r="K47" s="63">
        <v>0</v>
      </c>
      <c r="L47" s="63">
        <v>955.19999999552965</v>
      </c>
      <c r="M47" s="63">
        <f t="shared" si="7"/>
        <v>29420880</v>
      </c>
      <c r="N47" s="64">
        <v>11479800</v>
      </c>
      <c r="O47" s="64">
        <f t="shared" si="10"/>
        <v>40900680</v>
      </c>
      <c r="P47" s="85">
        <v>-588417.6</v>
      </c>
      <c r="Q47" s="86">
        <v>-294208.8</v>
      </c>
      <c r="R47" s="86">
        <v>-294208.8</v>
      </c>
      <c r="S47" s="86">
        <v>0</v>
      </c>
      <c r="T47" s="63">
        <v>0</v>
      </c>
      <c r="U47" s="65">
        <f t="shared" si="8"/>
        <v>39724800</v>
      </c>
      <c r="V47" s="87"/>
      <c r="W47" s="52"/>
      <c r="X47" s="52"/>
    </row>
    <row r="48" spans="1:24" s="53" customFormat="1" x14ac:dyDescent="0.25">
      <c r="A48" s="66">
        <f t="shared" si="11"/>
        <v>14</v>
      </c>
      <c r="B48" s="70" t="s">
        <v>776</v>
      </c>
      <c r="C48" s="62">
        <v>0</v>
      </c>
      <c r="D48" s="62">
        <v>16</v>
      </c>
      <c r="E48" s="54">
        <f t="shared" si="9"/>
        <v>16</v>
      </c>
      <c r="F48" s="63">
        <v>47041408</v>
      </c>
      <c r="G48" s="63"/>
      <c r="H48" s="63">
        <v>0</v>
      </c>
      <c r="I48" s="84">
        <v>25000</v>
      </c>
      <c r="J48" s="63">
        <v>0</v>
      </c>
      <c r="K48" s="63">
        <v>0</v>
      </c>
      <c r="L48" s="63">
        <v>1248.3199999928474</v>
      </c>
      <c r="M48" s="63">
        <f t="shared" si="7"/>
        <v>47066408</v>
      </c>
      <c r="N48" s="64">
        <v>18977100</v>
      </c>
      <c r="O48" s="64">
        <f t="shared" si="10"/>
        <v>66043508</v>
      </c>
      <c r="P48" s="85">
        <v>-941328.16</v>
      </c>
      <c r="Q48" s="86">
        <v>-470664.08</v>
      </c>
      <c r="R48" s="86">
        <v>-470664.08</v>
      </c>
      <c r="S48" s="86">
        <v>0</v>
      </c>
      <c r="T48" s="63">
        <v>0</v>
      </c>
      <c r="U48" s="65">
        <f t="shared" si="8"/>
        <v>64162100</v>
      </c>
      <c r="V48" s="87"/>
      <c r="W48" s="52"/>
      <c r="X48" s="52"/>
    </row>
    <row r="49" spans="1:24" s="53" customFormat="1" x14ac:dyDescent="0.25">
      <c r="A49" s="66">
        <f t="shared" si="11"/>
        <v>15</v>
      </c>
      <c r="B49" s="70" t="s">
        <v>777</v>
      </c>
      <c r="C49" s="62">
        <v>0</v>
      </c>
      <c r="D49" s="62">
        <v>21</v>
      </c>
      <c r="E49" s="54">
        <f t="shared" si="9"/>
        <v>21</v>
      </c>
      <c r="F49" s="63">
        <v>67622024</v>
      </c>
      <c r="G49" s="63"/>
      <c r="H49" s="63">
        <v>0</v>
      </c>
      <c r="I49" s="84">
        <v>37000</v>
      </c>
      <c r="J49" s="63">
        <v>0</v>
      </c>
      <c r="K49" s="63">
        <v>0</v>
      </c>
      <c r="L49" s="63">
        <v>1836.9599999897182</v>
      </c>
      <c r="M49" s="63">
        <f t="shared" si="7"/>
        <v>67659024</v>
      </c>
      <c r="N49" s="64">
        <v>25201100</v>
      </c>
      <c r="O49" s="64">
        <f t="shared" si="10"/>
        <v>92860124</v>
      </c>
      <c r="P49" s="85">
        <v>-1353180.48</v>
      </c>
      <c r="Q49" s="86">
        <v>-676590.24</v>
      </c>
      <c r="R49" s="86">
        <v>-676590.24</v>
      </c>
      <c r="S49" s="86">
        <v>0</v>
      </c>
      <c r="T49" s="63">
        <v>0</v>
      </c>
      <c r="U49" s="65">
        <f t="shared" si="8"/>
        <v>90155600</v>
      </c>
      <c r="V49" s="87"/>
      <c r="W49" s="52"/>
      <c r="X49" s="52"/>
    </row>
    <row r="50" spans="1:24" s="53" customFormat="1" x14ac:dyDescent="0.25">
      <c r="A50" s="66">
        <f t="shared" si="11"/>
        <v>16</v>
      </c>
      <c r="B50" s="70" t="s">
        <v>627</v>
      </c>
      <c r="C50" s="62">
        <v>38</v>
      </c>
      <c r="D50" s="62">
        <v>0</v>
      </c>
      <c r="E50" s="54">
        <f t="shared" si="9"/>
        <v>38</v>
      </c>
      <c r="F50" s="63">
        <v>102550269.44</v>
      </c>
      <c r="G50" s="63"/>
      <c r="H50" s="63">
        <v>0</v>
      </c>
      <c r="I50" s="84">
        <v>53000</v>
      </c>
      <c r="J50" s="63">
        <v>0</v>
      </c>
      <c r="K50" s="63">
        <v>0</v>
      </c>
      <c r="L50" s="63">
        <v>2672.8799999845214</v>
      </c>
      <c r="M50" s="63">
        <f t="shared" si="7"/>
        <v>102603269.44</v>
      </c>
      <c r="N50" s="64">
        <v>39926700</v>
      </c>
      <c r="O50" s="64">
        <f t="shared" si="10"/>
        <v>142529969.44</v>
      </c>
      <c r="P50" s="85">
        <v>-2059121.6</v>
      </c>
      <c r="Q50" s="86">
        <v>-1000159.92</v>
      </c>
      <c r="R50" s="86">
        <v>-1029560.8</v>
      </c>
      <c r="S50" s="86">
        <v>0</v>
      </c>
      <c r="T50" s="63">
        <v>0</v>
      </c>
      <c r="U50" s="65">
        <f t="shared" si="8"/>
        <v>138443800</v>
      </c>
      <c r="V50" s="87"/>
      <c r="W50" s="52"/>
      <c r="X50" s="52"/>
    </row>
    <row r="51" spans="1:24" s="53" customFormat="1" x14ac:dyDescent="0.25">
      <c r="A51" s="66">
        <f t="shared" si="11"/>
        <v>17</v>
      </c>
      <c r="B51" s="70" t="s">
        <v>778</v>
      </c>
      <c r="C51" s="62">
        <v>35</v>
      </c>
      <c r="D51" s="62">
        <v>19</v>
      </c>
      <c r="E51" s="54">
        <f t="shared" si="9"/>
        <v>54</v>
      </c>
      <c r="F51" s="63">
        <v>162057650.55999997</v>
      </c>
      <c r="G51" s="63"/>
      <c r="H51" s="63">
        <v>0</v>
      </c>
      <c r="I51" s="84">
        <v>44000</v>
      </c>
      <c r="J51" s="63">
        <v>0</v>
      </c>
      <c r="K51" s="63">
        <v>0</v>
      </c>
      <c r="L51" s="63">
        <v>2604.7999999753665</v>
      </c>
      <c r="M51" s="63">
        <f t="shared" si="7"/>
        <v>162101650.55999997</v>
      </c>
      <c r="N51" s="64">
        <v>47252600</v>
      </c>
      <c r="O51" s="64">
        <f t="shared" si="10"/>
        <v>209354250.55999997</v>
      </c>
      <c r="P51" s="85">
        <v>-3293778.5599999954</v>
      </c>
      <c r="Q51" s="86">
        <v>-1588087.5199999979</v>
      </c>
      <c r="R51" s="86">
        <v>-1646889.2799999977</v>
      </c>
      <c r="S51" s="86">
        <v>0</v>
      </c>
      <c r="T51" s="63">
        <v>0</v>
      </c>
      <c r="U51" s="65">
        <f t="shared" si="8"/>
        <v>202828099.99999994</v>
      </c>
      <c r="V51" s="87"/>
      <c r="W51" s="52"/>
      <c r="X51" s="52"/>
    </row>
    <row r="52" spans="1:24" s="53" customFormat="1" x14ac:dyDescent="0.25">
      <c r="A52" s="66">
        <f t="shared" si="11"/>
        <v>18</v>
      </c>
      <c r="B52" s="70" t="s">
        <v>779</v>
      </c>
      <c r="C52" s="62">
        <v>4</v>
      </c>
      <c r="D52" s="62">
        <v>8</v>
      </c>
      <c r="E52" s="54">
        <f t="shared" si="9"/>
        <v>12</v>
      </c>
      <c r="F52" s="63">
        <v>25637567.359999999</v>
      </c>
      <c r="G52" s="63"/>
      <c r="H52" s="63">
        <v>0</v>
      </c>
      <c r="I52" s="84">
        <v>6000</v>
      </c>
      <c r="J52" s="63">
        <v>0</v>
      </c>
      <c r="K52" s="63">
        <v>0</v>
      </c>
      <c r="L52" s="63">
        <v>303.43999999621883</v>
      </c>
      <c r="M52" s="63">
        <f t="shared" si="7"/>
        <v>25643567.359999999</v>
      </c>
      <c r="N52" s="64">
        <v>3035000</v>
      </c>
      <c r="O52" s="64">
        <f t="shared" si="10"/>
        <v>28678567.359999999</v>
      </c>
      <c r="P52" s="85">
        <v>-529335.84</v>
      </c>
      <c r="Q52" s="86">
        <v>-235267.04</v>
      </c>
      <c r="R52" s="86">
        <v>-264667.92</v>
      </c>
      <c r="S52" s="86">
        <v>0</v>
      </c>
      <c r="T52" s="63">
        <v>0</v>
      </c>
      <c r="U52" s="65">
        <f t="shared" si="8"/>
        <v>27649599.999999996</v>
      </c>
      <c r="V52" s="87"/>
      <c r="W52" s="52"/>
      <c r="X52" s="52"/>
    </row>
    <row r="53" spans="1:24" s="53" customFormat="1" x14ac:dyDescent="0.25">
      <c r="A53" s="72"/>
      <c r="B53" s="90"/>
      <c r="C53" s="91"/>
      <c r="D53" s="91"/>
      <c r="E53" s="92"/>
      <c r="F53" s="73"/>
      <c r="G53" s="73"/>
      <c r="H53" s="73"/>
      <c r="I53" s="73"/>
      <c r="J53" s="73"/>
      <c r="K53" s="73"/>
      <c r="L53" s="73"/>
      <c r="M53" s="73"/>
      <c r="N53" s="74"/>
      <c r="O53" s="74"/>
      <c r="P53" s="93"/>
      <c r="Q53" s="94"/>
      <c r="R53" s="94"/>
      <c r="S53" s="94"/>
      <c r="T53" s="94"/>
      <c r="U53" s="50"/>
      <c r="V53" s="87"/>
      <c r="W53" s="52"/>
      <c r="X53" s="52"/>
    </row>
    <row r="54" spans="1:24" s="53" customFormat="1" x14ac:dyDescent="0.25">
      <c r="A54" s="72"/>
      <c r="B54" s="90"/>
      <c r="C54" s="91"/>
      <c r="D54" s="91"/>
      <c r="E54" s="92"/>
      <c r="F54" s="73"/>
      <c r="G54" s="73"/>
      <c r="H54" s="73"/>
      <c r="I54" s="73"/>
      <c r="J54" s="73"/>
      <c r="K54" s="73"/>
      <c r="L54" s="73"/>
      <c r="M54" s="73"/>
      <c r="N54" s="74"/>
      <c r="O54" s="74"/>
      <c r="P54" s="93"/>
      <c r="Q54" s="94"/>
      <c r="R54" s="94"/>
      <c r="S54" s="94"/>
      <c r="T54" s="94"/>
      <c r="U54" s="50"/>
      <c r="V54" s="87"/>
      <c r="W54" s="52"/>
      <c r="X54" s="52"/>
    </row>
    <row r="55" spans="1:24" s="53" customFormat="1" x14ac:dyDescent="0.25">
      <c r="A55" s="79"/>
      <c r="B55" s="156" t="s">
        <v>50</v>
      </c>
      <c r="C55" s="95">
        <f>SUM(C35:C52)</f>
        <v>96</v>
      </c>
      <c r="D55" s="95">
        <f>SUM(D35:D52)</f>
        <v>93</v>
      </c>
      <c r="E55" s="79"/>
      <c r="F55" s="96">
        <f>SUM(F35:F52)</f>
        <v>545327522.24000001</v>
      </c>
      <c r="G55" s="96">
        <f t="shared" ref="G55:T55" si="12">SUM(G35:G52)</f>
        <v>0</v>
      </c>
      <c r="H55" s="96">
        <f t="shared" si="12"/>
        <v>0</v>
      </c>
      <c r="I55" s="96">
        <f t="shared" si="12"/>
        <v>272000</v>
      </c>
      <c r="J55" s="96">
        <f t="shared" si="12"/>
        <v>0</v>
      </c>
      <c r="K55" s="96">
        <f t="shared" si="12"/>
        <v>2502000</v>
      </c>
      <c r="L55" s="96">
        <f>SUM(L35:L52)</f>
        <v>12118.399999919115</v>
      </c>
      <c r="M55" s="96">
        <f t="shared" si="12"/>
        <v>548101522.24000001</v>
      </c>
      <c r="N55" s="97">
        <f t="shared" si="12"/>
        <v>183886100</v>
      </c>
      <c r="O55" s="97">
        <f t="shared" si="12"/>
        <v>731987622.24000001</v>
      </c>
      <c r="P55" s="96">
        <f t="shared" si="12"/>
        <v>-10765822.079999994</v>
      </c>
      <c r="Q55" s="96">
        <f t="shared" si="12"/>
        <v>-5265307.5199999977</v>
      </c>
      <c r="R55" s="96">
        <f t="shared" si="12"/>
        <v>-5382911.0399999972</v>
      </c>
      <c r="S55" s="96">
        <f t="shared" si="12"/>
        <v>0</v>
      </c>
      <c r="T55" s="96">
        <f t="shared" si="12"/>
        <v>0</v>
      </c>
      <c r="U55" s="96">
        <f>SUM(U35:U52)</f>
        <v>710585700</v>
      </c>
      <c r="V55" s="51"/>
      <c r="W55" s="52"/>
      <c r="X55" s="52"/>
    </row>
    <row r="56" spans="1:24" s="53" customFormat="1" x14ac:dyDescent="0.25">
      <c r="A56" s="52"/>
      <c r="B56" s="157"/>
      <c r="C56" s="158">
        <f>SUM(C55:D55)</f>
        <v>189</v>
      </c>
      <c r="D56" s="159"/>
      <c r="E56" s="52"/>
      <c r="F56" s="76">
        <f>'[2]GAJI 25 MEI - 24 JUNI 2026'!R238</f>
        <v>545327522.24000001</v>
      </c>
      <c r="G56" s="76"/>
      <c r="H56" s="76">
        <f>'[2]GAJI 25 MEI - 24 JUNI 2026'!T238</f>
        <v>0</v>
      </c>
      <c r="I56" s="76">
        <f>'[2]GAJI 25 MEI - 24 JUNI 2026'!N238</f>
        <v>272000</v>
      </c>
      <c r="J56" s="76">
        <f>'[2]GAJI 25 MEI - 24 JUNI 2026'!U238</f>
        <v>0</v>
      </c>
      <c r="K56" s="76">
        <f>'[2]GAJI 25 MEI - 24 JUNI 2026'!V238</f>
        <v>2502000</v>
      </c>
      <c r="L56" s="76">
        <f>'[2]GAJI 25 MEI - 24 JUNI 2026'!W238</f>
        <v>12118.399999919115</v>
      </c>
      <c r="M56" s="76">
        <f>'[2]GAJI 25 MEI - 24 JUNI 2026'!X238-'[2]GAJI 25 MEI - 24 JUNI 2026'!S238</f>
        <v>548101522.24000001</v>
      </c>
      <c r="N56" s="78">
        <f>'[2]GAJI 25 MEI - 24 JUNI 2026'!S238</f>
        <v>183886100</v>
      </c>
      <c r="O56" s="78">
        <f>'[2]GAJI 25 MEI - 24 JUNI 2026'!X238</f>
        <v>731987622.24000001</v>
      </c>
      <c r="P56" s="76">
        <f>'[2]GAJI 25 MEI - 24 JUNI 2026'!Y238</f>
        <v>-10765822.079999968</v>
      </c>
      <c r="Q56" s="76">
        <f>'[2]GAJI 25 MEI - 24 JUNI 2026'!Z238</f>
        <v>-5265307.5199999847</v>
      </c>
      <c r="R56" s="76">
        <f>'[2]GAJI 25 MEI - 24 JUNI 2026'!AA238</f>
        <v>-5382911.0399999842</v>
      </c>
      <c r="S56" s="76">
        <f>'[2]GAJI 25 MEI - 24 JUNI 2026'!AB238</f>
        <v>0</v>
      </c>
      <c r="T56" s="76">
        <f>'[2]GAJI 25 MEI - 24 JUNI 2026'!AC238</f>
        <v>0</v>
      </c>
      <c r="U56" s="76">
        <f>'[2]GAJI 25 MEI - 24 JUNI 2026'!AD238</f>
        <v>710585700</v>
      </c>
      <c r="V56" s="76"/>
      <c r="W56" s="76"/>
      <c r="X56" s="52"/>
    </row>
    <row r="57" spans="1:24" s="53" customFormat="1" x14ac:dyDescent="0.25">
      <c r="A57" s="52"/>
      <c r="B57" s="80"/>
      <c r="C57" s="92"/>
      <c r="D57" s="92"/>
      <c r="E57" s="52"/>
      <c r="F57" s="76">
        <f t="shared" ref="F57:U57" si="13">F56-F55</f>
        <v>0</v>
      </c>
      <c r="G57" s="50">
        <f t="shared" si="13"/>
        <v>0</v>
      </c>
      <c r="H57" s="50">
        <f t="shared" si="13"/>
        <v>0</v>
      </c>
      <c r="I57" s="50">
        <f t="shared" si="13"/>
        <v>0</v>
      </c>
      <c r="J57" s="50">
        <f t="shared" si="13"/>
        <v>0</v>
      </c>
      <c r="K57" s="50">
        <f t="shared" si="13"/>
        <v>0</v>
      </c>
      <c r="L57" s="50">
        <f t="shared" si="13"/>
        <v>0</v>
      </c>
      <c r="M57" s="50">
        <f t="shared" si="13"/>
        <v>0</v>
      </c>
      <c r="N57" s="77"/>
      <c r="O57" s="77"/>
      <c r="P57" s="50">
        <f t="shared" si="13"/>
        <v>2.6077032089233398E-8</v>
      </c>
      <c r="Q57" s="50">
        <f t="shared" si="13"/>
        <v>1.3038516044616699E-8</v>
      </c>
      <c r="R57" s="50">
        <f t="shared" si="13"/>
        <v>1.3038516044616699E-8</v>
      </c>
      <c r="S57" s="50">
        <f t="shared" si="13"/>
        <v>0</v>
      </c>
      <c r="T57" s="50">
        <f t="shared" si="13"/>
        <v>0</v>
      </c>
      <c r="U57" s="50">
        <f t="shared" si="13"/>
        <v>0</v>
      </c>
      <c r="V57" s="51"/>
      <c r="W57" s="52"/>
      <c r="X57" s="52"/>
    </row>
    <row r="58" spans="1:24" s="53" customFormat="1" x14ac:dyDescent="0.25">
      <c r="A58" s="52"/>
      <c r="B58" s="80"/>
      <c r="C58" s="92"/>
      <c r="D58" s="92"/>
      <c r="E58" s="52"/>
      <c r="F58" s="76"/>
      <c r="G58" s="50"/>
      <c r="H58" s="50"/>
      <c r="I58" s="50"/>
      <c r="J58" s="50"/>
      <c r="K58" s="50"/>
      <c r="L58" s="50"/>
      <c r="M58" s="50"/>
      <c r="N58" s="77"/>
      <c r="O58" s="77"/>
      <c r="P58" s="50"/>
      <c r="Q58" s="50"/>
      <c r="R58" s="50"/>
      <c r="S58" s="50"/>
      <c r="T58" s="50"/>
      <c r="U58" s="50"/>
      <c r="V58" s="51"/>
      <c r="W58" s="52"/>
      <c r="X58" s="52"/>
    </row>
    <row r="59" spans="1:24" s="53" customFormat="1" x14ac:dyDescent="0.25">
      <c r="A59" s="72"/>
      <c r="B59" s="90"/>
      <c r="C59" s="91"/>
      <c r="D59" s="91"/>
      <c r="E59" s="92"/>
      <c r="F59" s="73"/>
      <c r="G59" s="73"/>
      <c r="H59" s="73"/>
      <c r="I59" s="73"/>
      <c r="J59" s="73"/>
      <c r="K59" s="73"/>
      <c r="L59" s="73"/>
      <c r="M59" s="73"/>
      <c r="N59" s="74"/>
      <c r="O59" s="74"/>
      <c r="P59" s="93"/>
      <c r="Q59" s="94"/>
      <c r="R59" s="94"/>
      <c r="S59" s="94"/>
      <c r="T59" s="94"/>
      <c r="U59" s="50"/>
      <c r="V59" s="87"/>
      <c r="W59" s="52"/>
      <c r="X59" s="52"/>
    </row>
    <row r="60" spans="1:24" s="53" customFormat="1" x14ac:dyDescent="0.25">
      <c r="A60" s="52"/>
      <c r="B60" s="52"/>
      <c r="C60" s="52"/>
      <c r="D60" s="52"/>
      <c r="E60" s="52"/>
      <c r="F60" s="76"/>
      <c r="G60" s="50"/>
      <c r="H60" s="50"/>
      <c r="I60" s="50"/>
      <c r="J60" s="50"/>
      <c r="K60" s="50"/>
      <c r="L60" s="50"/>
      <c r="M60" s="50"/>
      <c r="N60" s="77"/>
      <c r="O60" s="77"/>
      <c r="P60" s="50"/>
      <c r="Q60" s="50"/>
      <c r="R60" s="50"/>
      <c r="S60" s="50"/>
      <c r="T60" s="50"/>
      <c r="U60" s="50"/>
      <c r="V60" s="51"/>
      <c r="W60" s="52"/>
      <c r="X60" s="52"/>
    </row>
    <row r="61" spans="1:24" s="53" customFormat="1" x14ac:dyDescent="0.25">
      <c r="A61" s="79"/>
      <c r="B61" s="160" t="s">
        <v>780</v>
      </c>
      <c r="C61" s="98">
        <f>SUM(C55,C28)</f>
        <v>114</v>
      </c>
      <c r="D61" s="98">
        <f>SUM(D55,D28)</f>
        <v>101</v>
      </c>
      <c r="E61" s="79"/>
      <c r="F61" s="99">
        <f>SUM(F55,F28)</f>
        <v>627613650.03999996</v>
      </c>
      <c r="G61" s="99">
        <f t="shared" ref="G61:U61" si="14">SUM(G55,G28)</f>
        <v>0</v>
      </c>
      <c r="H61" s="99">
        <f t="shared" si="14"/>
        <v>0</v>
      </c>
      <c r="I61" s="99">
        <f t="shared" si="14"/>
        <v>391000</v>
      </c>
      <c r="J61" s="99">
        <f t="shared" si="14"/>
        <v>2050000</v>
      </c>
      <c r="K61" s="99">
        <f t="shared" si="14"/>
        <v>47678783.981999993</v>
      </c>
      <c r="L61" s="99">
        <f t="shared" si="14"/>
        <v>13221.137999907834</v>
      </c>
      <c r="M61" s="99">
        <f t="shared" si="14"/>
        <v>677733434.02200007</v>
      </c>
      <c r="N61" s="99">
        <f t="shared" si="14"/>
        <v>184839424</v>
      </c>
      <c r="O61" s="99">
        <f t="shared" si="14"/>
        <v>862572858.02200007</v>
      </c>
      <c r="P61" s="99">
        <f t="shared" si="14"/>
        <v>-12335047.839999994</v>
      </c>
      <c r="Q61" s="99">
        <f t="shared" si="14"/>
        <v>-6049920.3999999976</v>
      </c>
      <c r="R61" s="99">
        <f t="shared" si="14"/>
        <v>-6167523.9199999971</v>
      </c>
      <c r="S61" s="99">
        <f t="shared" si="14"/>
        <v>-1002500</v>
      </c>
      <c r="T61" s="99">
        <f t="shared" si="14"/>
        <v>0</v>
      </c>
      <c r="U61" s="99">
        <f t="shared" si="14"/>
        <v>837031087</v>
      </c>
      <c r="V61" s="51"/>
      <c r="W61" s="52"/>
      <c r="X61" s="52"/>
    </row>
    <row r="62" spans="1:24" s="53" customFormat="1" x14ac:dyDescent="0.25">
      <c r="A62" s="52"/>
      <c r="B62" s="160"/>
      <c r="C62" s="161">
        <f>SUM(C61:D61)</f>
        <v>215</v>
      </c>
      <c r="D62" s="161"/>
      <c r="E62" s="52"/>
      <c r="F62" s="100"/>
      <c r="G62" s="50"/>
      <c r="H62" s="50"/>
      <c r="I62" s="50"/>
      <c r="J62" s="50"/>
      <c r="K62" s="50"/>
      <c r="L62" s="50"/>
      <c r="M62" s="50"/>
      <c r="N62" s="77"/>
      <c r="O62" s="77"/>
      <c r="P62" s="50"/>
      <c r="Q62" s="50"/>
      <c r="R62" s="50"/>
      <c r="S62" s="50"/>
      <c r="T62" s="50"/>
      <c r="U62" s="50">
        <f>'[2]GAJI 25 MEI - 24 JUNI 2026'!AD245</f>
        <v>837031087</v>
      </c>
      <c r="V62" s="51"/>
      <c r="W62" s="52"/>
      <c r="X62" s="52"/>
    </row>
    <row r="63" spans="1:24" s="53" customFormat="1" x14ac:dyDescent="0.25">
      <c r="A63" s="52"/>
      <c r="B63" s="52"/>
      <c r="C63" s="52"/>
      <c r="D63" s="52"/>
      <c r="E63" s="52"/>
      <c r="F63" s="76"/>
      <c r="G63" s="76"/>
      <c r="H63" s="76"/>
      <c r="I63" s="76"/>
      <c r="J63" s="76"/>
      <c r="K63" s="76"/>
      <c r="L63" s="76"/>
      <c r="M63" s="76"/>
      <c r="N63" s="78"/>
      <c r="O63" s="78"/>
      <c r="P63" s="76"/>
      <c r="Q63" s="76"/>
      <c r="R63" s="76"/>
      <c r="S63" s="76"/>
      <c r="T63" s="76"/>
      <c r="U63" s="76"/>
      <c r="V63" s="51"/>
      <c r="W63" s="52"/>
      <c r="X63" s="52"/>
    </row>
    <row r="67" spans="1:21" x14ac:dyDescent="0.25">
      <c r="A67" s="101" t="s">
        <v>781</v>
      </c>
      <c r="B67" s="101"/>
      <c r="C67" s="102"/>
      <c r="D67" s="102"/>
      <c r="E67" s="102"/>
      <c r="F67" s="102"/>
      <c r="G67" s="102"/>
    </row>
    <row r="68" spans="1:21" x14ac:dyDescent="0.25">
      <c r="A68" s="45"/>
      <c r="B68" s="45"/>
    </row>
    <row r="69" spans="1:21" x14ac:dyDescent="0.25">
      <c r="A69" s="45" t="s">
        <v>48</v>
      </c>
      <c r="B69" s="45"/>
    </row>
    <row r="70" spans="1:21" ht="15.75" thickBot="1" x14ac:dyDescent="0.3">
      <c r="A70" s="45" t="s">
        <v>49</v>
      </c>
      <c r="B70" s="45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4"/>
      <c r="O70" s="104"/>
      <c r="P70" s="103"/>
      <c r="Q70" s="103"/>
      <c r="R70" s="103"/>
      <c r="S70" s="103"/>
      <c r="T70" s="103"/>
      <c r="U70" s="103"/>
    </row>
    <row r="71" spans="1:21" ht="15.75" customHeight="1" thickTop="1" x14ac:dyDescent="0.25">
      <c r="A71" s="162" t="s">
        <v>36</v>
      </c>
      <c r="B71" s="164" t="s">
        <v>9</v>
      </c>
      <c r="C71" s="105"/>
      <c r="D71" s="105"/>
      <c r="E71" s="105"/>
      <c r="F71" s="154" t="s">
        <v>40</v>
      </c>
      <c r="G71" s="154" t="s">
        <v>38</v>
      </c>
      <c r="H71" s="154" t="s">
        <v>39</v>
      </c>
      <c r="I71" s="154" t="s">
        <v>696</v>
      </c>
      <c r="J71" s="154" t="s">
        <v>750</v>
      </c>
      <c r="K71" s="154" t="s">
        <v>45</v>
      </c>
      <c r="L71" s="105"/>
      <c r="M71" s="105"/>
      <c r="N71" s="106"/>
      <c r="O71" s="106"/>
      <c r="P71" s="105"/>
      <c r="Q71" s="105"/>
      <c r="R71" s="105"/>
      <c r="S71" s="105"/>
      <c r="T71" s="105"/>
      <c r="U71" s="146" t="s">
        <v>41</v>
      </c>
    </row>
    <row r="72" spans="1:21" ht="15.75" thickBot="1" x14ac:dyDescent="0.3">
      <c r="A72" s="163"/>
      <c r="B72" s="165"/>
      <c r="C72" s="107"/>
      <c r="D72" s="107"/>
      <c r="E72" s="107"/>
      <c r="F72" s="155"/>
      <c r="G72" s="155"/>
      <c r="H72" s="155"/>
      <c r="I72" s="155"/>
      <c r="J72" s="155"/>
      <c r="K72" s="155"/>
      <c r="L72" s="107"/>
      <c r="M72" s="107"/>
      <c r="N72" s="108"/>
      <c r="O72" s="108"/>
      <c r="P72" s="107"/>
      <c r="Q72" s="107"/>
      <c r="R72" s="107"/>
      <c r="S72" s="107"/>
      <c r="T72" s="107"/>
      <c r="U72" s="147"/>
    </row>
    <row r="73" spans="1:21" ht="15.75" thickTop="1" x14ac:dyDescent="0.25">
      <c r="A73" s="109">
        <v>1</v>
      </c>
      <c r="B73" s="110" t="s">
        <v>620</v>
      </c>
      <c r="C73" s="105"/>
      <c r="D73" s="105"/>
      <c r="E73" s="105"/>
      <c r="F73" s="111">
        <v>420000</v>
      </c>
      <c r="G73" s="111">
        <v>950000</v>
      </c>
      <c r="H73" s="111">
        <v>800000</v>
      </c>
      <c r="I73" s="111">
        <v>926500</v>
      </c>
      <c r="J73" s="111">
        <v>0</v>
      </c>
      <c r="K73" s="105">
        <v>0</v>
      </c>
      <c r="L73" s="105"/>
      <c r="M73" s="105"/>
      <c r="N73" s="106"/>
      <c r="O73" s="106"/>
      <c r="P73" s="105"/>
      <c r="Q73" s="105"/>
      <c r="R73" s="105"/>
      <c r="S73" s="105"/>
      <c r="T73" s="105"/>
      <c r="U73" s="111">
        <f>SUM(F73:J73)</f>
        <v>3096500</v>
      </c>
    </row>
    <row r="74" spans="1:21" x14ac:dyDescent="0.25">
      <c r="A74" s="112">
        <f>A73+1</f>
        <v>2</v>
      </c>
      <c r="B74" s="113" t="s">
        <v>618</v>
      </c>
      <c r="C74" s="114"/>
      <c r="D74" s="114"/>
      <c r="E74" s="114"/>
      <c r="F74" s="111">
        <v>60000</v>
      </c>
      <c r="G74" s="111">
        <v>255000</v>
      </c>
      <c r="H74" s="111">
        <v>105000</v>
      </c>
      <c r="I74" s="111">
        <v>0</v>
      </c>
      <c r="J74" s="111">
        <v>0</v>
      </c>
      <c r="K74" s="105">
        <v>0</v>
      </c>
      <c r="L74" s="114"/>
      <c r="M74" s="114"/>
      <c r="N74" s="115"/>
      <c r="O74" s="115"/>
      <c r="P74" s="114"/>
      <c r="Q74" s="114"/>
      <c r="R74" s="114"/>
      <c r="S74" s="114"/>
      <c r="T74" s="114"/>
      <c r="U74" s="111">
        <f t="shared" ref="U74:U90" si="15">SUM(F74:J74)</f>
        <v>420000</v>
      </c>
    </row>
    <row r="75" spans="1:21" x14ac:dyDescent="0.25">
      <c r="A75" s="112">
        <f t="shared" ref="A75:A90" si="16">A74+1</f>
        <v>3</v>
      </c>
      <c r="B75" s="116" t="s">
        <v>619</v>
      </c>
      <c r="C75" s="114"/>
      <c r="D75" s="114"/>
      <c r="E75" s="114"/>
      <c r="F75" s="111">
        <v>0</v>
      </c>
      <c r="G75" s="111">
        <v>0</v>
      </c>
      <c r="H75" s="111">
        <v>0</v>
      </c>
      <c r="I75" s="111">
        <v>0</v>
      </c>
      <c r="J75" s="111">
        <v>0</v>
      </c>
      <c r="K75" s="105">
        <v>0</v>
      </c>
      <c r="L75" s="114"/>
      <c r="M75" s="114"/>
      <c r="N75" s="115"/>
      <c r="O75" s="115"/>
      <c r="P75" s="114"/>
      <c r="Q75" s="114"/>
      <c r="R75" s="114"/>
      <c r="S75" s="114"/>
      <c r="T75" s="114"/>
      <c r="U75" s="111">
        <f t="shared" si="15"/>
        <v>0</v>
      </c>
    </row>
    <row r="76" spans="1:21" x14ac:dyDescent="0.25">
      <c r="A76" s="112">
        <f t="shared" si="16"/>
        <v>4</v>
      </c>
      <c r="B76" s="117" t="s">
        <v>625</v>
      </c>
      <c r="C76" s="114"/>
      <c r="D76" s="114"/>
      <c r="E76" s="114"/>
      <c r="F76" s="111">
        <v>45000</v>
      </c>
      <c r="G76" s="111">
        <v>250000</v>
      </c>
      <c r="H76" s="111">
        <v>400000</v>
      </c>
      <c r="I76" s="111">
        <v>0</v>
      </c>
      <c r="J76" s="111">
        <v>0</v>
      </c>
      <c r="K76" s="105">
        <v>0</v>
      </c>
      <c r="L76" s="114"/>
      <c r="M76" s="114"/>
      <c r="N76" s="115"/>
      <c r="O76" s="115"/>
      <c r="P76" s="114"/>
      <c r="Q76" s="114"/>
      <c r="R76" s="114"/>
      <c r="S76" s="114"/>
      <c r="T76" s="114"/>
      <c r="U76" s="111">
        <f t="shared" si="15"/>
        <v>695000</v>
      </c>
    </row>
    <row r="77" spans="1:21" x14ac:dyDescent="0.25">
      <c r="A77" s="112">
        <f t="shared" si="16"/>
        <v>5</v>
      </c>
      <c r="B77" s="116" t="s">
        <v>624</v>
      </c>
      <c r="C77" s="114"/>
      <c r="D77" s="114"/>
      <c r="E77" s="114"/>
      <c r="F77" s="111">
        <v>0</v>
      </c>
      <c r="G77" s="111">
        <v>50000</v>
      </c>
      <c r="H77" s="111">
        <v>0</v>
      </c>
      <c r="I77" s="111">
        <v>0</v>
      </c>
      <c r="J77" s="111">
        <v>0</v>
      </c>
      <c r="K77" s="105">
        <v>0</v>
      </c>
      <c r="L77" s="114"/>
      <c r="M77" s="114"/>
      <c r="N77" s="115"/>
      <c r="O77" s="115"/>
      <c r="P77" s="114"/>
      <c r="Q77" s="114"/>
      <c r="R77" s="114"/>
      <c r="S77" s="114"/>
      <c r="T77" s="114"/>
      <c r="U77" s="111">
        <f t="shared" si="15"/>
        <v>50000</v>
      </c>
    </row>
    <row r="78" spans="1:21" x14ac:dyDescent="0.25">
      <c r="A78" s="112">
        <f t="shared" si="16"/>
        <v>6</v>
      </c>
      <c r="B78" s="117" t="s">
        <v>617</v>
      </c>
      <c r="C78" s="114"/>
      <c r="D78" s="114"/>
      <c r="E78" s="114"/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05">
        <v>0</v>
      </c>
      <c r="L78" s="114"/>
      <c r="M78" s="114"/>
      <c r="N78" s="115"/>
      <c r="O78" s="115"/>
      <c r="P78" s="114"/>
      <c r="Q78" s="114"/>
      <c r="R78" s="114"/>
      <c r="S78" s="114"/>
      <c r="T78" s="114"/>
      <c r="U78" s="111">
        <f t="shared" si="15"/>
        <v>0</v>
      </c>
    </row>
    <row r="79" spans="1:21" x14ac:dyDescent="0.25">
      <c r="A79" s="112">
        <f t="shared" si="16"/>
        <v>7</v>
      </c>
      <c r="B79" s="117" t="s">
        <v>615</v>
      </c>
      <c r="C79" s="114"/>
      <c r="D79" s="114"/>
      <c r="E79" s="114"/>
      <c r="F79" s="111">
        <v>180000</v>
      </c>
      <c r="G79" s="111">
        <v>350000</v>
      </c>
      <c r="H79" s="111">
        <v>200000</v>
      </c>
      <c r="I79" s="111">
        <v>0</v>
      </c>
      <c r="J79" s="111">
        <v>0</v>
      </c>
      <c r="K79" s="105">
        <v>0</v>
      </c>
      <c r="L79" s="114"/>
      <c r="M79" s="114"/>
      <c r="N79" s="115"/>
      <c r="O79" s="115"/>
      <c r="P79" s="114"/>
      <c r="Q79" s="114"/>
      <c r="R79" s="114"/>
      <c r="S79" s="114"/>
      <c r="T79" s="114"/>
      <c r="U79" s="111">
        <f t="shared" si="15"/>
        <v>730000</v>
      </c>
    </row>
    <row r="80" spans="1:21" x14ac:dyDescent="0.25">
      <c r="A80" s="112">
        <f t="shared" si="16"/>
        <v>8</v>
      </c>
      <c r="B80" s="117" t="s">
        <v>666</v>
      </c>
      <c r="C80" s="114"/>
      <c r="D80" s="114"/>
      <c r="E80" s="114"/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05">
        <v>0</v>
      </c>
      <c r="L80" s="114"/>
      <c r="M80" s="114"/>
      <c r="N80" s="115"/>
      <c r="O80" s="115"/>
      <c r="P80" s="114"/>
      <c r="Q80" s="114"/>
      <c r="R80" s="114"/>
      <c r="S80" s="114"/>
      <c r="T80" s="114"/>
      <c r="U80" s="111">
        <f t="shared" si="15"/>
        <v>0</v>
      </c>
    </row>
    <row r="81" spans="1:21" x14ac:dyDescent="0.25">
      <c r="A81" s="112">
        <f t="shared" si="16"/>
        <v>9</v>
      </c>
      <c r="B81" s="116" t="s">
        <v>627</v>
      </c>
      <c r="C81" s="114"/>
      <c r="D81" s="114"/>
      <c r="E81" s="114"/>
      <c r="F81" s="111">
        <v>90000</v>
      </c>
      <c r="G81" s="111">
        <v>200000</v>
      </c>
      <c r="H81" s="111">
        <v>0</v>
      </c>
      <c r="I81" s="111">
        <v>0</v>
      </c>
      <c r="J81" s="111">
        <v>0</v>
      </c>
      <c r="K81" s="105">
        <v>0</v>
      </c>
      <c r="L81" s="114"/>
      <c r="M81" s="114"/>
      <c r="N81" s="115"/>
      <c r="O81" s="115"/>
      <c r="P81" s="114"/>
      <c r="Q81" s="114"/>
      <c r="R81" s="114"/>
      <c r="S81" s="114"/>
      <c r="T81" s="114"/>
      <c r="U81" s="111">
        <f t="shared" si="15"/>
        <v>290000</v>
      </c>
    </row>
    <row r="82" spans="1:21" x14ac:dyDescent="0.25">
      <c r="A82" s="112">
        <f t="shared" si="16"/>
        <v>10</v>
      </c>
      <c r="B82" s="117" t="s">
        <v>626</v>
      </c>
      <c r="C82" s="114"/>
      <c r="D82" s="114"/>
      <c r="E82" s="114"/>
      <c r="F82" s="111">
        <v>15000</v>
      </c>
      <c r="G82" s="111">
        <v>100000</v>
      </c>
      <c r="H82" s="111">
        <v>0</v>
      </c>
      <c r="I82" s="111">
        <v>0</v>
      </c>
      <c r="J82" s="111">
        <v>0</v>
      </c>
      <c r="K82" s="105">
        <v>0</v>
      </c>
      <c r="L82" s="114"/>
      <c r="M82" s="114"/>
      <c r="N82" s="115"/>
      <c r="O82" s="115"/>
      <c r="P82" s="114"/>
      <c r="Q82" s="114"/>
      <c r="R82" s="114"/>
      <c r="S82" s="114"/>
      <c r="T82" s="114"/>
      <c r="U82" s="111">
        <f t="shared" si="15"/>
        <v>115000</v>
      </c>
    </row>
    <row r="83" spans="1:21" x14ac:dyDescent="0.25">
      <c r="A83" s="112">
        <f t="shared" si="16"/>
        <v>11</v>
      </c>
      <c r="B83" s="117" t="s">
        <v>622</v>
      </c>
      <c r="C83" s="114"/>
      <c r="D83" s="114"/>
      <c r="E83" s="114"/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05">
        <v>0</v>
      </c>
      <c r="L83" s="114"/>
      <c r="M83" s="114"/>
      <c r="N83" s="115"/>
      <c r="O83" s="115"/>
      <c r="P83" s="114"/>
      <c r="Q83" s="114"/>
      <c r="R83" s="114"/>
      <c r="S83" s="114"/>
      <c r="T83" s="114"/>
      <c r="U83" s="111">
        <f t="shared" si="15"/>
        <v>0</v>
      </c>
    </row>
    <row r="84" spans="1:21" x14ac:dyDescent="0.25">
      <c r="A84" s="112">
        <f t="shared" si="16"/>
        <v>12</v>
      </c>
      <c r="B84" s="116" t="s">
        <v>628</v>
      </c>
      <c r="C84" s="114"/>
      <c r="D84" s="114"/>
      <c r="E84" s="114"/>
      <c r="F84" s="111">
        <v>0</v>
      </c>
      <c r="G84" s="111">
        <v>0</v>
      </c>
      <c r="H84" s="111">
        <v>0</v>
      </c>
      <c r="I84" s="111">
        <v>0</v>
      </c>
      <c r="J84" s="111">
        <v>0</v>
      </c>
      <c r="K84" s="105">
        <v>0</v>
      </c>
      <c r="L84" s="114"/>
      <c r="M84" s="114"/>
      <c r="N84" s="115"/>
      <c r="O84" s="115"/>
      <c r="P84" s="114"/>
      <c r="Q84" s="114"/>
      <c r="R84" s="114"/>
      <c r="S84" s="114"/>
      <c r="T84" s="114"/>
      <c r="U84" s="111">
        <f t="shared" si="15"/>
        <v>0</v>
      </c>
    </row>
    <row r="85" spans="1:21" x14ac:dyDescent="0.25">
      <c r="A85" s="112">
        <f t="shared" si="16"/>
        <v>13</v>
      </c>
      <c r="B85" s="117" t="s">
        <v>621</v>
      </c>
      <c r="C85" s="114"/>
      <c r="D85" s="114"/>
      <c r="E85" s="114"/>
      <c r="F85" s="111">
        <v>0</v>
      </c>
      <c r="G85" s="111">
        <v>0</v>
      </c>
      <c r="H85" s="111">
        <v>0</v>
      </c>
      <c r="I85" s="111">
        <v>0</v>
      </c>
      <c r="J85" s="111">
        <v>0</v>
      </c>
      <c r="K85" s="105">
        <v>0</v>
      </c>
      <c r="L85" s="114"/>
      <c r="M85" s="114"/>
      <c r="N85" s="115"/>
      <c r="O85" s="115"/>
      <c r="P85" s="114"/>
      <c r="Q85" s="114"/>
      <c r="R85" s="114"/>
      <c r="S85" s="114"/>
      <c r="T85" s="114"/>
      <c r="U85" s="111">
        <f t="shared" si="15"/>
        <v>0</v>
      </c>
    </row>
    <row r="86" spans="1:21" x14ac:dyDescent="0.25">
      <c r="A86" s="112">
        <f t="shared" si="16"/>
        <v>14</v>
      </c>
      <c r="B86" s="116" t="s">
        <v>629</v>
      </c>
      <c r="C86" s="114"/>
      <c r="D86" s="114"/>
      <c r="E86" s="114"/>
      <c r="F86" s="111">
        <v>45000</v>
      </c>
      <c r="G86" s="111">
        <v>57142.857142857145</v>
      </c>
      <c r="H86" s="111">
        <v>485714.28571428574</v>
      </c>
      <c r="I86" s="111">
        <v>0</v>
      </c>
      <c r="J86" s="111">
        <v>42.857142857159488</v>
      </c>
      <c r="K86" s="105">
        <v>0</v>
      </c>
      <c r="L86" s="114"/>
      <c r="M86" s="114"/>
      <c r="N86" s="115"/>
      <c r="O86" s="115"/>
      <c r="P86" s="114"/>
      <c r="Q86" s="114"/>
      <c r="R86" s="114"/>
      <c r="S86" s="114"/>
      <c r="T86" s="114"/>
      <c r="U86" s="111">
        <f t="shared" si="15"/>
        <v>587900</v>
      </c>
    </row>
    <row r="87" spans="1:21" x14ac:dyDescent="0.25">
      <c r="A87" s="112">
        <f t="shared" si="16"/>
        <v>15</v>
      </c>
      <c r="B87" s="117" t="s">
        <v>616</v>
      </c>
      <c r="C87" s="114"/>
      <c r="D87" s="114"/>
      <c r="E87" s="114"/>
      <c r="F87" s="111">
        <v>120000</v>
      </c>
      <c r="G87" s="111">
        <v>50000</v>
      </c>
      <c r="H87" s="111">
        <v>0</v>
      </c>
      <c r="I87" s="111">
        <v>0</v>
      </c>
      <c r="J87" s="111">
        <v>0</v>
      </c>
      <c r="K87" s="105">
        <v>0</v>
      </c>
      <c r="L87" s="114"/>
      <c r="M87" s="114"/>
      <c r="N87" s="115"/>
      <c r="O87" s="115"/>
      <c r="P87" s="114"/>
      <c r="Q87" s="114"/>
      <c r="R87" s="114"/>
      <c r="S87" s="114"/>
      <c r="T87" s="114"/>
      <c r="U87" s="111">
        <f t="shared" si="15"/>
        <v>170000</v>
      </c>
    </row>
    <row r="88" spans="1:21" x14ac:dyDescent="0.25">
      <c r="A88" s="112">
        <f t="shared" si="16"/>
        <v>16</v>
      </c>
      <c r="B88" s="117" t="s">
        <v>623</v>
      </c>
      <c r="C88" s="114"/>
      <c r="D88" s="114"/>
      <c r="E88" s="114"/>
      <c r="F88" s="111">
        <v>300000</v>
      </c>
      <c r="G88" s="111">
        <v>100000</v>
      </c>
      <c r="H88" s="111">
        <v>0</v>
      </c>
      <c r="I88" s="111">
        <v>0</v>
      </c>
      <c r="J88" s="111">
        <v>0</v>
      </c>
      <c r="K88" s="105">
        <v>0</v>
      </c>
      <c r="L88" s="114"/>
      <c r="M88" s="114"/>
      <c r="N88" s="115"/>
      <c r="O88" s="115"/>
      <c r="P88" s="114"/>
      <c r="Q88" s="114"/>
      <c r="R88" s="114"/>
      <c r="S88" s="114"/>
      <c r="T88" s="114"/>
      <c r="U88" s="111">
        <f t="shared" si="15"/>
        <v>400000</v>
      </c>
    </row>
    <row r="89" spans="1:21" x14ac:dyDescent="0.25">
      <c r="A89" s="112">
        <f t="shared" si="16"/>
        <v>17</v>
      </c>
      <c r="B89" s="117" t="s">
        <v>694</v>
      </c>
      <c r="C89" s="114"/>
      <c r="D89" s="114"/>
      <c r="E89" s="114"/>
      <c r="F89" s="111">
        <v>459000</v>
      </c>
      <c r="G89" s="111">
        <v>0</v>
      </c>
      <c r="H89" s="111">
        <v>0</v>
      </c>
      <c r="I89" s="111">
        <v>191000</v>
      </c>
      <c r="J89" s="111">
        <v>0</v>
      </c>
      <c r="K89" s="105">
        <v>0</v>
      </c>
      <c r="L89" s="114"/>
      <c r="M89" s="114"/>
      <c r="N89" s="115"/>
      <c r="O89" s="115"/>
      <c r="P89" s="114"/>
      <c r="Q89" s="114"/>
      <c r="R89" s="114"/>
      <c r="S89" s="114"/>
      <c r="T89" s="114"/>
      <c r="U89" s="111">
        <f t="shared" si="15"/>
        <v>650000</v>
      </c>
    </row>
    <row r="90" spans="1:21" x14ac:dyDescent="0.25">
      <c r="A90" s="112">
        <f t="shared" si="16"/>
        <v>18</v>
      </c>
      <c r="B90" s="117" t="s">
        <v>695</v>
      </c>
      <c r="C90" s="114"/>
      <c r="D90" s="114"/>
      <c r="E90" s="114"/>
      <c r="F90" s="111">
        <v>0</v>
      </c>
      <c r="G90" s="111">
        <v>0</v>
      </c>
      <c r="H90" s="111">
        <v>0</v>
      </c>
      <c r="I90" s="111">
        <v>0</v>
      </c>
      <c r="J90" s="111">
        <v>0</v>
      </c>
      <c r="K90" s="105">
        <v>0</v>
      </c>
      <c r="L90" s="114"/>
      <c r="M90" s="114"/>
      <c r="N90" s="115"/>
      <c r="O90" s="115"/>
      <c r="P90" s="114"/>
      <c r="Q90" s="114"/>
      <c r="R90" s="114"/>
      <c r="S90" s="114"/>
      <c r="T90" s="114"/>
      <c r="U90" s="111">
        <f t="shared" si="15"/>
        <v>0</v>
      </c>
    </row>
    <row r="91" spans="1:21" x14ac:dyDescent="0.25">
      <c r="A91" s="118"/>
      <c r="B91" s="118"/>
      <c r="U91" s="44"/>
    </row>
    <row r="92" spans="1:21" x14ac:dyDescent="0.25">
      <c r="A92" s="45"/>
      <c r="B92" s="148" t="s">
        <v>50</v>
      </c>
      <c r="C92" s="114"/>
      <c r="D92" s="114"/>
      <c r="E92" s="114"/>
      <c r="F92" s="119">
        <f>SUM(F73:F90)</f>
        <v>1734000</v>
      </c>
      <c r="G92" s="119">
        <f t="shared" ref="G92:K92" si="17">SUM(G73:G90)</f>
        <v>2362142.8571428573</v>
      </c>
      <c r="H92" s="119">
        <f t="shared" si="17"/>
        <v>1990714.2857142857</v>
      </c>
      <c r="I92" s="119">
        <f t="shared" si="17"/>
        <v>1117500</v>
      </c>
      <c r="J92" s="119">
        <f t="shared" si="17"/>
        <v>42.857142857159488</v>
      </c>
      <c r="K92" s="119">
        <f t="shared" si="17"/>
        <v>0</v>
      </c>
      <c r="L92" s="114"/>
      <c r="M92" s="114"/>
      <c r="N92" s="115"/>
      <c r="O92" s="115"/>
      <c r="P92" s="114"/>
      <c r="Q92" s="114"/>
      <c r="R92" s="114"/>
      <c r="S92" s="114"/>
      <c r="T92" s="114"/>
      <c r="U92" s="119">
        <f>SUM(U73:U90)</f>
        <v>7204400</v>
      </c>
    </row>
    <row r="93" spans="1:21" x14ac:dyDescent="0.25">
      <c r="A93" s="120"/>
      <c r="B93" s="148"/>
      <c r="F93" s="44">
        <f>'[2]UM DAN LEMBUR ALL IN JUNI''26'!J42</f>
        <v>1734000</v>
      </c>
      <c r="G93" s="44">
        <f>'[2]UM DAN LEMBUR ALL IN JUNI''26'!K42</f>
        <v>2362142.8571428573</v>
      </c>
      <c r="H93" s="44">
        <f>'[2]UM DAN LEMBUR ALL IN JUNI''26'!L42</f>
        <v>1990714.2857142857</v>
      </c>
      <c r="I93" s="44">
        <f>'[2]UM DAN LEMBUR ALL IN JUNI''26'!M42</f>
        <v>1117500</v>
      </c>
      <c r="J93" s="44">
        <f>'[2]UM DAN LEMBUR ALL IN JUNI''26'!N42</f>
        <v>42.857142857159488</v>
      </c>
      <c r="K93" s="44">
        <f>'[2]UM DAN LEMBUR ALL IN JUNI''26'!O42</f>
        <v>0</v>
      </c>
      <c r="U93" s="44">
        <f>'[2]UM DAN LEMBUR ALL IN JUNI''26'!P42</f>
        <v>7204400</v>
      </c>
    </row>
    <row r="94" spans="1:21" x14ac:dyDescent="0.25">
      <c r="F94" s="44">
        <f t="shared" ref="F94:K94" si="18">F93-F92</f>
        <v>0</v>
      </c>
      <c r="G94" s="44">
        <f t="shared" si="18"/>
        <v>0</v>
      </c>
      <c r="H94" s="44">
        <f t="shared" si="18"/>
        <v>0</v>
      </c>
      <c r="I94" s="44">
        <f t="shared" si="18"/>
        <v>0</v>
      </c>
      <c r="J94" s="44">
        <f t="shared" si="18"/>
        <v>0</v>
      </c>
      <c r="K94" s="44">
        <f t="shared" si="18"/>
        <v>0</v>
      </c>
      <c r="U94" s="44">
        <f t="shared" ref="U94" si="19">U93-U92</f>
        <v>0</v>
      </c>
    </row>
    <row r="95" spans="1:21" x14ac:dyDescent="0.25">
      <c r="F95" s="44"/>
      <c r="G95" s="44"/>
      <c r="H95" s="44"/>
      <c r="I95" s="44"/>
      <c r="U95" s="44"/>
    </row>
    <row r="96" spans="1:21" x14ac:dyDescent="0.25">
      <c r="F96" s="44"/>
      <c r="G96" s="44"/>
      <c r="H96" s="44"/>
      <c r="I96" s="44"/>
      <c r="U96" s="44"/>
    </row>
    <row r="97" spans="1:22" x14ac:dyDescent="0.25">
      <c r="F97" s="44"/>
      <c r="G97" s="44"/>
      <c r="H97" s="44"/>
      <c r="I97" s="44"/>
      <c r="U97" s="44"/>
    </row>
    <row r="98" spans="1:22" x14ac:dyDescent="0.25">
      <c r="A98" s="101" t="s">
        <v>782</v>
      </c>
      <c r="B98" s="101"/>
      <c r="C98" s="102"/>
      <c r="D98" s="102"/>
      <c r="E98" s="102"/>
      <c r="F98" s="102"/>
      <c r="G98" s="102"/>
    </row>
    <row r="100" spans="1:22" ht="15.75" thickBot="1" x14ac:dyDescent="0.3"/>
    <row r="101" spans="1:22" ht="15.75" thickTop="1" x14ac:dyDescent="0.25">
      <c r="A101" s="149" t="s">
        <v>746</v>
      </c>
      <c r="B101" s="149" t="s">
        <v>9</v>
      </c>
      <c r="C101" s="151"/>
      <c r="D101" s="15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2"/>
      <c r="O101" s="122"/>
      <c r="P101" s="121"/>
      <c r="Q101" s="121"/>
      <c r="R101" s="121"/>
      <c r="S101" s="121"/>
      <c r="T101" s="121"/>
      <c r="U101" s="152" t="s">
        <v>41</v>
      </c>
      <c r="V101"/>
    </row>
    <row r="102" spans="1:22" ht="15.75" thickBot="1" x14ac:dyDescent="0.3">
      <c r="A102" s="150"/>
      <c r="B102" s="150"/>
      <c r="C102" s="123"/>
      <c r="D102" s="123"/>
      <c r="E102" s="107"/>
      <c r="F102" s="107"/>
      <c r="G102" s="107"/>
      <c r="H102" s="107"/>
      <c r="I102" s="107"/>
      <c r="J102" s="107"/>
      <c r="K102" s="107"/>
      <c r="L102" s="107"/>
      <c r="M102" s="107"/>
      <c r="N102" s="108"/>
      <c r="O102" s="108"/>
      <c r="P102" s="107"/>
      <c r="Q102" s="107"/>
      <c r="R102" s="107"/>
      <c r="S102" s="107"/>
      <c r="T102" s="107"/>
      <c r="U102" s="153"/>
      <c r="V102"/>
    </row>
    <row r="103" spans="1:22" ht="15.75" thickTop="1" x14ac:dyDescent="0.25">
      <c r="A103" s="124">
        <v>1</v>
      </c>
      <c r="B103" s="105" t="s">
        <v>772</v>
      </c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6"/>
      <c r="O103" s="106"/>
      <c r="P103" s="105"/>
      <c r="Q103" s="105"/>
      <c r="R103" s="105"/>
      <c r="S103" s="105"/>
      <c r="T103" s="105"/>
      <c r="U103" s="125">
        <f>VLOOKUP(B103,'[3]RESUME KOMPENSASI UNGARAN 2026'!B$8:H$27,7,0)</f>
        <v>0</v>
      </c>
      <c r="V103"/>
    </row>
    <row r="104" spans="1:22" x14ac:dyDescent="0.25">
      <c r="A104" s="126">
        <f>A103+1</f>
        <v>2</v>
      </c>
      <c r="B104" s="114" t="s">
        <v>773</v>
      </c>
      <c r="C104" s="105"/>
      <c r="D104" s="105"/>
      <c r="E104" s="114"/>
      <c r="F104" s="114"/>
      <c r="G104" s="114"/>
      <c r="H104" s="114"/>
      <c r="I104" s="114"/>
      <c r="J104" s="114"/>
      <c r="K104" s="114"/>
      <c r="L104" s="114"/>
      <c r="M104" s="114"/>
      <c r="N104" s="115"/>
      <c r="O104" s="115"/>
      <c r="P104" s="114"/>
      <c r="Q104" s="114"/>
      <c r="R104" s="114"/>
      <c r="S104" s="114"/>
      <c r="T104" s="114"/>
      <c r="U104" s="125">
        <f>VLOOKUP(B104,'[3]RESUME KOMPENSASI UNGARAN 2026'!B$8:H$27,7,0)</f>
        <v>0</v>
      </c>
      <c r="V104"/>
    </row>
    <row r="105" spans="1:22" x14ac:dyDescent="0.25">
      <c r="A105" s="126">
        <f t="shared" ref="A105:A120" si="20">A104+1</f>
        <v>3</v>
      </c>
      <c r="B105" s="114" t="s">
        <v>615</v>
      </c>
      <c r="C105" s="105"/>
      <c r="D105" s="105"/>
      <c r="E105" s="114"/>
      <c r="F105" s="114"/>
      <c r="G105" s="114"/>
      <c r="H105" s="114"/>
      <c r="I105" s="114"/>
      <c r="J105" s="114"/>
      <c r="K105" s="114"/>
      <c r="L105" s="114"/>
      <c r="M105" s="114"/>
      <c r="N105" s="115"/>
      <c r="O105" s="115"/>
      <c r="P105" s="114"/>
      <c r="Q105" s="114"/>
      <c r="R105" s="114"/>
      <c r="S105" s="114"/>
      <c r="T105" s="114"/>
      <c r="U105" s="125">
        <f>VLOOKUP(B105,'[3]RESUME KOMPENSASI UNGARAN 2026'!B$8:H$27,7,0)</f>
        <v>0</v>
      </c>
      <c r="V105"/>
    </row>
    <row r="106" spans="1:22" x14ac:dyDescent="0.25">
      <c r="A106" s="126">
        <f t="shared" si="20"/>
        <v>4</v>
      </c>
      <c r="B106" s="114" t="s">
        <v>695</v>
      </c>
      <c r="C106" s="105"/>
      <c r="D106" s="105"/>
      <c r="E106" s="114"/>
      <c r="F106" s="114"/>
      <c r="G106" s="114"/>
      <c r="H106" s="114"/>
      <c r="I106" s="114"/>
      <c r="J106" s="114"/>
      <c r="K106" s="114"/>
      <c r="L106" s="114"/>
      <c r="M106" s="114"/>
      <c r="N106" s="115"/>
      <c r="O106" s="115"/>
      <c r="P106" s="114"/>
      <c r="Q106" s="114"/>
      <c r="R106" s="114"/>
      <c r="S106" s="114"/>
      <c r="T106" s="114"/>
      <c r="U106" s="125">
        <f>VLOOKUP(B106,'[3]RESUME KOMPENSASI UNGARAN 2026'!B$8:H$27,7,0)</f>
        <v>0</v>
      </c>
      <c r="V106"/>
    </row>
    <row r="107" spans="1:22" x14ac:dyDescent="0.25">
      <c r="A107" s="126">
        <f t="shared" si="20"/>
        <v>5</v>
      </c>
      <c r="B107" s="114" t="s">
        <v>623</v>
      </c>
      <c r="C107" s="105"/>
      <c r="D107" s="105"/>
      <c r="E107" s="114"/>
      <c r="F107" s="114"/>
      <c r="G107" s="114"/>
      <c r="H107" s="114"/>
      <c r="I107" s="114"/>
      <c r="J107" s="114"/>
      <c r="K107" s="114"/>
      <c r="L107" s="114"/>
      <c r="M107" s="114"/>
      <c r="N107" s="115"/>
      <c r="O107" s="115"/>
      <c r="P107" s="114"/>
      <c r="Q107" s="114"/>
      <c r="R107" s="114"/>
      <c r="S107" s="114"/>
      <c r="T107" s="114"/>
      <c r="U107" s="125">
        <f>VLOOKUP(B107,'[3]RESUME KOMPENSASI UNGARAN 2026'!B$8:H$27,7,0)</f>
        <v>0</v>
      </c>
      <c r="V107"/>
    </row>
    <row r="108" spans="1:22" x14ac:dyDescent="0.25">
      <c r="A108" s="126">
        <f t="shared" si="20"/>
        <v>6</v>
      </c>
      <c r="B108" s="114" t="s">
        <v>629</v>
      </c>
      <c r="C108" s="105"/>
      <c r="D108" s="105"/>
      <c r="E108" s="114"/>
      <c r="F108" s="114"/>
      <c r="G108" s="114"/>
      <c r="H108" s="114"/>
      <c r="I108" s="114"/>
      <c r="J108" s="114"/>
      <c r="K108" s="114"/>
      <c r="L108" s="114"/>
      <c r="M108" s="114"/>
      <c r="N108" s="115"/>
      <c r="O108" s="115"/>
      <c r="P108" s="114"/>
      <c r="Q108" s="114"/>
      <c r="R108" s="114"/>
      <c r="S108" s="114"/>
      <c r="T108" s="114"/>
      <c r="U108" s="125">
        <f>VLOOKUP(B108,'[3]RESUME KOMPENSASI UNGARAN 2026'!B$8:H$27,7,0)</f>
        <v>0</v>
      </c>
      <c r="V108"/>
    </row>
    <row r="109" spans="1:22" x14ac:dyDescent="0.25">
      <c r="A109" s="126">
        <f t="shared" si="20"/>
        <v>7</v>
      </c>
      <c r="B109" s="114" t="s">
        <v>616</v>
      </c>
      <c r="C109" s="105"/>
      <c r="D109" s="105"/>
      <c r="E109" s="114"/>
      <c r="F109" s="114"/>
      <c r="G109" s="114"/>
      <c r="H109" s="114"/>
      <c r="I109" s="114"/>
      <c r="J109" s="114"/>
      <c r="K109" s="114"/>
      <c r="L109" s="114"/>
      <c r="M109" s="114"/>
      <c r="N109" s="115"/>
      <c r="O109" s="115"/>
      <c r="P109" s="114"/>
      <c r="Q109" s="114"/>
      <c r="R109" s="114"/>
      <c r="S109" s="114"/>
      <c r="T109" s="114"/>
      <c r="U109" s="125">
        <f>VLOOKUP(B109,'[3]RESUME KOMPENSASI UNGARAN 2026'!B$8:H$27,7,0)</f>
        <v>2944100</v>
      </c>
      <c r="V109"/>
    </row>
    <row r="110" spans="1:22" x14ac:dyDescent="0.25">
      <c r="A110" s="126">
        <f t="shared" si="20"/>
        <v>8</v>
      </c>
      <c r="B110" s="114" t="s">
        <v>619</v>
      </c>
      <c r="C110" s="105"/>
      <c r="D110" s="105"/>
      <c r="E110" s="114"/>
      <c r="F110" s="114"/>
      <c r="G110" s="114"/>
      <c r="H110" s="114"/>
      <c r="I110" s="114"/>
      <c r="J110" s="114"/>
      <c r="K110" s="114"/>
      <c r="L110" s="114"/>
      <c r="M110" s="114"/>
      <c r="N110" s="115"/>
      <c r="O110" s="115"/>
      <c r="P110" s="114"/>
      <c r="Q110" s="114"/>
      <c r="R110" s="114"/>
      <c r="S110" s="114"/>
      <c r="T110" s="114"/>
      <c r="U110" s="125">
        <f>VLOOKUP(B110,'[3]RESUME KOMPENSASI UNGARAN 2026'!B$8:H$27,7,0)</f>
        <v>0</v>
      </c>
      <c r="V110"/>
    </row>
    <row r="111" spans="1:22" x14ac:dyDescent="0.25">
      <c r="A111" s="126">
        <f t="shared" si="20"/>
        <v>9</v>
      </c>
      <c r="B111" s="114" t="s">
        <v>621</v>
      </c>
      <c r="C111" s="105"/>
      <c r="D111" s="105"/>
      <c r="E111" s="114"/>
      <c r="F111" s="114"/>
      <c r="G111" s="114"/>
      <c r="H111" s="114"/>
      <c r="I111" s="114"/>
      <c r="J111" s="114"/>
      <c r="K111" s="114"/>
      <c r="L111" s="114"/>
      <c r="M111" s="114"/>
      <c r="N111" s="115"/>
      <c r="O111" s="115"/>
      <c r="P111" s="114"/>
      <c r="Q111" s="114"/>
      <c r="R111" s="114"/>
      <c r="S111" s="114"/>
      <c r="T111" s="114"/>
      <c r="U111" s="125">
        <f>VLOOKUP(B111,'[3]RESUME KOMPENSASI UNGARAN 2026'!B$8:H$27,7,0)</f>
        <v>0</v>
      </c>
      <c r="V111"/>
    </row>
    <row r="112" spans="1:22" x14ac:dyDescent="0.25">
      <c r="A112" s="126">
        <f t="shared" si="20"/>
        <v>10</v>
      </c>
      <c r="B112" s="114" t="s">
        <v>628</v>
      </c>
      <c r="C112" s="105"/>
      <c r="D112" s="105"/>
      <c r="E112" s="114"/>
      <c r="F112" s="114"/>
      <c r="G112" s="114"/>
      <c r="H112" s="114"/>
      <c r="I112" s="114"/>
      <c r="J112" s="114"/>
      <c r="K112" s="114"/>
      <c r="L112" s="114"/>
      <c r="M112" s="114"/>
      <c r="N112" s="115"/>
      <c r="O112" s="115"/>
      <c r="P112" s="114"/>
      <c r="Q112" s="114"/>
      <c r="R112" s="114"/>
      <c r="S112" s="114"/>
      <c r="T112" s="114"/>
      <c r="U112" s="125">
        <f>VLOOKUP(B112,'[3]RESUME KOMPENSASI UNGARAN 2026'!B$8:H$27,7,0)</f>
        <v>0</v>
      </c>
      <c r="V112"/>
    </row>
    <row r="113" spans="1:22" x14ac:dyDescent="0.25">
      <c r="A113" s="126">
        <f t="shared" si="20"/>
        <v>11</v>
      </c>
      <c r="B113" s="114" t="s">
        <v>774</v>
      </c>
      <c r="C113" s="105"/>
      <c r="D113" s="105"/>
      <c r="E113" s="114"/>
      <c r="F113" s="114"/>
      <c r="G113" s="114"/>
      <c r="H113" s="114"/>
      <c r="I113" s="114"/>
      <c r="J113" s="114"/>
      <c r="K113" s="114"/>
      <c r="L113" s="114"/>
      <c r="M113" s="114"/>
      <c r="N113" s="115"/>
      <c r="O113" s="115"/>
      <c r="P113" s="114"/>
      <c r="Q113" s="114"/>
      <c r="R113" s="114"/>
      <c r="S113" s="114"/>
      <c r="T113" s="114"/>
      <c r="U113" s="125">
        <f>VLOOKUP(B113,'[3]RESUME KOMPENSASI UNGARAN 2026'!B$8:H$27,7,0)</f>
        <v>245100</v>
      </c>
      <c r="V113"/>
    </row>
    <row r="114" spans="1:22" x14ac:dyDescent="0.25">
      <c r="A114" s="126">
        <f t="shared" si="20"/>
        <v>12</v>
      </c>
      <c r="B114" s="114" t="s">
        <v>622</v>
      </c>
      <c r="C114" s="105"/>
      <c r="D114" s="105"/>
      <c r="E114" s="114"/>
      <c r="F114" s="114"/>
      <c r="G114" s="114"/>
      <c r="H114" s="114"/>
      <c r="I114" s="114"/>
      <c r="J114" s="114"/>
      <c r="K114" s="114"/>
      <c r="L114" s="114"/>
      <c r="M114" s="114"/>
      <c r="N114" s="115"/>
      <c r="O114" s="115"/>
      <c r="P114" s="114"/>
      <c r="Q114" s="114"/>
      <c r="R114" s="114"/>
      <c r="S114" s="114"/>
      <c r="T114" s="114"/>
      <c r="U114" s="125">
        <f>VLOOKUP(B114,'[3]RESUME KOMPENSASI UNGARAN 2026'!B$8:H$27,7,0)</f>
        <v>0</v>
      </c>
      <c r="V114"/>
    </row>
    <row r="115" spans="1:22" x14ac:dyDescent="0.25">
      <c r="A115" s="126">
        <f t="shared" si="20"/>
        <v>13</v>
      </c>
      <c r="B115" s="114" t="s">
        <v>775</v>
      </c>
      <c r="C115" s="105"/>
      <c r="D115" s="105"/>
      <c r="E115" s="114"/>
      <c r="F115" s="114"/>
      <c r="G115" s="114"/>
      <c r="H115" s="114"/>
      <c r="I115" s="114"/>
      <c r="J115" s="114"/>
      <c r="K115" s="114"/>
      <c r="L115" s="114"/>
      <c r="M115" s="114"/>
      <c r="N115" s="115"/>
      <c r="O115" s="115"/>
      <c r="P115" s="114"/>
      <c r="Q115" s="114"/>
      <c r="R115" s="114"/>
      <c r="S115" s="114"/>
      <c r="T115" s="114"/>
      <c r="U115" s="125">
        <f>VLOOKUP(B115,'[3]RESUME KOMPENSASI UNGARAN 2026'!B$8:H$27,7,0)</f>
        <v>0</v>
      </c>
      <c r="V115"/>
    </row>
    <row r="116" spans="1:22" x14ac:dyDescent="0.25">
      <c r="A116" s="126">
        <f t="shared" si="20"/>
        <v>14</v>
      </c>
      <c r="B116" s="114" t="s">
        <v>776</v>
      </c>
      <c r="C116" s="105"/>
      <c r="D116" s="105"/>
      <c r="E116" s="114"/>
      <c r="F116" s="114"/>
      <c r="G116" s="114"/>
      <c r="H116" s="114"/>
      <c r="I116" s="114"/>
      <c r="J116" s="114"/>
      <c r="K116" s="114"/>
      <c r="L116" s="114"/>
      <c r="M116" s="114"/>
      <c r="N116" s="115"/>
      <c r="O116" s="115"/>
      <c r="P116" s="114"/>
      <c r="Q116" s="114"/>
      <c r="R116" s="114"/>
      <c r="S116" s="114"/>
      <c r="T116" s="114"/>
      <c r="U116" s="125">
        <f>VLOOKUP(B116,'[3]RESUME KOMPENSASI UNGARAN 2026'!B$8:H$27,7,0)</f>
        <v>490200</v>
      </c>
      <c r="V116"/>
    </row>
    <row r="117" spans="1:22" x14ac:dyDescent="0.25">
      <c r="A117" s="126">
        <f t="shared" si="20"/>
        <v>15</v>
      </c>
      <c r="B117" s="114" t="s">
        <v>777</v>
      </c>
      <c r="C117" s="105"/>
      <c r="D117" s="105"/>
      <c r="E117" s="114"/>
      <c r="F117" s="114"/>
      <c r="G117" s="114"/>
      <c r="H117" s="114"/>
      <c r="I117" s="114"/>
      <c r="J117" s="114"/>
      <c r="K117" s="114"/>
      <c r="L117" s="114"/>
      <c r="M117" s="114"/>
      <c r="N117" s="115"/>
      <c r="O117" s="115"/>
      <c r="P117" s="114"/>
      <c r="Q117" s="114"/>
      <c r="R117" s="114"/>
      <c r="S117" s="114"/>
      <c r="T117" s="114"/>
      <c r="U117" s="125">
        <f>VLOOKUP(B117,'[3]RESUME KOMPENSASI UNGARAN 2026'!B$8:H$27,7,0)</f>
        <v>490200</v>
      </c>
      <c r="V117"/>
    </row>
    <row r="118" spans="1:22" x14ac:dyDescent="0.25">
      <c r="A118" s="126">
        <f t="shared" si="20"/>
        <v>16</v>
      </c>
      <c r="B118" s="114" t="s">
        <v>627</v>
      </c>
      <c r="C118" s="105"/>
      <c r="D118" s="105"/>
      <c r="E118" s="114"/>
      <c r="F118" s="114"/>
      <c r="G118" s="114"/>
      <c r="H118" s="114"/>
      <c r="I118" s="114"/>
      <c r="J118" s="114"/>
      <c r="K118" s="114"/>
      <c r="L118" s="114"/>
      <c r="M118" s="114"/>
      <c r="N118" s="115"/>
      <c r="O118" s="115"/>
      <c r="P118" s="114"/>
      <c r="Q118" s="114"/>
      <c r="R118" s="114"/>
      <c r="S118" s="114"/>
      <c r="T118" s="114"/>
      <c r="U118" s="125">
        <f>VLOOKUP(B118,'[3]RESUME KOMPENSASI UNGARAN 2026'!B$8:H$27,7,0)</f>
        <v>490300</v>
      </c>
      <c r="V118"/>
    </row>
    <row r="119" spans="1:22" x14ac:dyDescent="0.25">
      <c r="A119" s="126">
        <f t="shared" si="20"/>
        <v>17</v>
      </c>
      <c r="B119" s="114" t="s">
        <v>778</v>
      </c>
      <c r="C119" s="105"/>
      <c r="D119" s="105"/>
      <c r="E119" s="114"/>
      <c r="F119" s="114"/>
      <c r="G119" s="114"/>
      <c r="H119" s="114"/>
      <c r="I119" s="114"/>
      <c r="J119" s="114"/>
      <c r="K119" s="114"/>
      <c r="L119" s="114"/>
      <c r="M119" s="114"/>
      <c r="N119" s="115"/>
      <c r="O119" s="115"/>
      <c r="P119" s="114"/>
      <c r="Q119" s="114"/>
      <c r="R119" s="114"/>
      <c r="S119" s="114"/>
      <c r="T119" s="114"/>
      <c r="U119" s="125">
        <f>VLOOKUP(B119,'[3]RESUME KOMPENSASI UNGARAN 2026'!B$8:H$27,7,0)</f>
        <v>1960800</v>
      </c>
      <c r="V119"/>
    </row>
    <row r="120" spans="1:22" x14ac:dyDescent="0.25">
      <c r="A120" s="126">
        <f t="shared" si="20"/>
        <v>18</v>
      </c>
      <c r="B120" s="114" t="s">
        <v>779</v>
      </c>
      <c r="C120" s="105"/>
      <c r="D120" s="105"/>
      <c r="E120" s="114"/>
      <c r="F120" s="114"/>
      <c r="G120" s="114"/>
      <c r="H120" s="114"/>
      <c r="I120" s="114"/>
      <c r="J120" s="114"/>
      <c r="K120" s="114"/>
      <c r="L120" s="114"/>
      <c r="M120" s="114"/>
      <c r="N120" s="115"/>
      <c r="O120" s="115"/>
      <c r="P120" s="114"/>
      <c r="Q120" s="114"/>
      <c r="R120" s="114"/>
      <c r="S120" s="114"/>
      <c r="T120" s="114"/>
      <c r="U120" s="125">
        <f>VLOOKUP(B120,'[3]RESUME KOMPENSASI UNGARAN 2026'!B$8:H$27,7,0)</f>
        <v>490200</v>
      </c>
      <c r="V120"/>
    </row>
    <row r="121" spans="1:22" x14ac:dyDescent="0.25">
      <c r="U121" s="44"/>
      <c r="V121"/>
    </row>
    <row r="122" spans="1:22" x14ac:dyDescent="0.25">
      <c r="B122" s="126" t="s">
        <v>41</v>
      </c>
      <c r="C122" s="114">
        <f>SUM(C103:C120)</f>
        <v>0</v>
      </c>
      <c r="D122" s="114">
        <f>SUM(D103:D120)</f>
        <v>0</v>
      </c>
      <c r="E122" s="114"/>
      <c r="F122" s="114"/>
      <c r="G122" s="114"/>
      <c r="H122" s="114"/>
      <c r="I122" s="114"/>
      <c r="J122" s="114"/>
      <c r="K122" s="114"/>
      <c r="L122" s="114"/>
      <c r="M122" s="114"/>
      <c r="N122" s="115"/>
      <c r="O122" s="115"/>
      <c r="P122" s="114"/>
      <c r="Q122" s="114"/>
      <c r="R122" s="114"/>
      <c r="S122" s="114"/>
      <c r="T122" s="114"/>
      <c r="U122" s="127">
        <f>SUM(U103:U120)</f>
        <v>7110900</v>
      </c>
      <c r="V122"/>
    </row>
    <row r="123" spans="1:22" hidden="1" x14ac:dyDescent="0.25">
      <c r="B123" s="126" t="s">
        <v>41</v>
      </c>
      <c r="C123" s="114">
        <f>SUM(C104:C121)</f>
        <v>0</v>
      </c>
      <c r="D123" s="114">
        <f>SUM(D104:D121)</f>
        <v>0</v>
      </c>
      <c r="E123" s="114"/>
      <c r="F123" s="114"/>
      <c r="G123" s="114"/>
      <c r="H123" s="114"/>
      <c r="I123" s="114"/>
      <c r="J123" s="114"/>
      <c r="K123" s="114"/>
      <c r="L123" s="114"/>
      <c r="M123" s="114"/>
      <c r="N123" s="115"/>
      <c r="O123" s="115"/>
      <c r="P123" s="114"/>
      <c r="Q123" s="114"/>
      <c r="R123" s="114"/>
      <c r="S123" s="114"/>
      <c r="T123" s="114"/>
      <c r="U123" s="127">
        <f>SUM(U104:U121)</f>
        <v>7110900</v>
      </c>
      <c r="V123"/>
    </row>
    <row r="124" spans="1:22" hidden="1" x14ac:dyDescent="0.25">
      <c r="U124" s="44"/>
      <c r="V124"/>
    </row>
    <row r="125" spans="1:22" hidden="1" x14ac:dyDescent="0.25">
      <c r="U125" s="44">
        <f>U123-U124</f>
        <v>7110900</v>
      </c>
      <c r="V125"/>
    </row>
    <row r="126" spans="1:22" hidden="1" x14ac:dyDescent="0.25"/>
    <row r="127" spans="1:22" hidden="1" x14ac:dyDescent="0.25"/>
    <row r="128" spans="1:22" hidden="1" x14ac:dyDescent="0.25"/>
    <row r="129" spans="21:21" x14ac:dyDescent="0.25">
      <c r="U129" s="44">
        <f>'[2]KOMPENSASI JUN (3) UNGARAN 2026'!Q244</f>
        <v>7110900</v>
      </c>
    </row>
    <row r="130" spans="21:21" x14ac:dyDescent="0.25">
      <c r="U130" s="44">
        <f>U129-U122</f>
        <v>0</v>
      </c>
    </row>
    <row r="135" spans="21:21" ht="26.25" x14ac:dyDescent="0.4">
      <c r="U135" s="128">
        <f>U28+U55+U92+U122</f>
        <v>851346387</v>
      </c>
    </row>
  </sheetData>
  <mergeCells count="59">
    <mergeCell ref="A1:U1"/>
    <mergeCell ref="C2:F2"/>
    <mergeCell ref="A4:G4"/>
    <mergeCell ref="A8:A9"/>
    <mergeCell ref="B8:B9"/>
    <mergeCell ref="C8:D8"/>
    <mergeCell ref="F8:G8"/>
    <mergeCell ref="H8:H9"/>
    <mergeCell ref="I8:I9"/>
    <mergeCell ref="J8:J9"/>
    <mergeCell ref="U8:U9"/>
    <mergeCell ref="B28:B29"/>
    <mergeCell ref="C29:D29"/>
    <mergeCell ref="K8:K9"/>
    <mergeCell ref="L8:L9"/>
    <mergeCell ref="M8:M9"/>
    <mergeCell ref="N8:N9"/>
    <mergeCell ref="O8:O9"/>
    <mergeCell ref="P8:P9"/>
    <mergeCell ref="I33:I34"/>
    <mergeCell ref="Q8:Q9"/>
    <mergeCell ref="R8:R9"/>
    <mergeCell ref="S8:S9"/>
    <mergeCell ref="T8:T9"/>
    <mergeCell ref="A33:A34"/>
    <mergeCell ref="B33:B34"/>
    <mergeCell ref="C33:D33"/>
    <mergeCell ref="F33:G33"/>
    <mergeCell ref="H33:H34"/>
    <mergeCell ref="U33:U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B55:B56"/>
    <mergeCell ref="C56:D56"/>
    <mergeCell ref="B61:B62"/>
    <mergeCell ref="C62:D62"/>
    <mergeCell ref="A71:A72"/>
    <mergeCell ref="B71:B72"/>
    <mergeCell ref="U71:U72"/>
    <mergeCell ref="B92:B93"/>
    <mergeCell ref="A101:A102"/>
    <mergeCell ref="B101:B102"/>
    <mergeCell ref="C101:D101"/>
    <mergeCell ref="U101:U102"/>
    <mergeCell ref="F71:F72"/>
    <mergeCell ref="G71:G72"/>
    <mergeCell ref="H71:H72"/>
    <mergeCell ref="I71:I72"/>
    <mergeCell ref="J71:J72"/>
    <mergeCell ref="K71:K72"/>
  </mergeCells>
  <printOptions horizontalCentered="1"/>
  <pageMargins left="0.19685039370078741" right="0.11811023622047245" top="0.74803149606299213" bottom="0.74803149606299213" header="0.31496062992125984" footer="0.31496062992125984"/>
  <pageSetup paperSize="8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REKENING UNG</vt:lpstr>
      <vt:lpstr>UM DAN LEMBUR ALL IN JUNI'26</vt:lpstr>
      <vt:lpstr>RESUME GAJI</vt:lpstr>
      <vt:lpstr>'RESUME GAJI'!Print_Area</vt:lpstr>
      <vt:lpstr>'UM DAN LEMBUR ALL IN JUNI''26'!Print_Area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KUS</dc:creator>
  <cp:lastModifiedBy>Sigit</cp:lastModifiedBy>
  <cp:lastPrinted>2026-07-05T00:54:07Z</cp:lastPrinted>
  <dcterms:created xsi:type="dcterms:W3CDTF">2022-07-15T09:31:15Z</dcterms:created>
  <dcterms:modified xsi:type="dcterms:W3CDTF">2026-07-05T00:56:16Z</dcterms:modified>
</cp:coreProperties>
</file>